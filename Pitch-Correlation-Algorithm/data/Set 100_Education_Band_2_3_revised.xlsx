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tion Vocab" sheetId="1" r:id="rId4"/>
  </sheets>
  <definedNames/>
  <calcPr/>
  <extLst>
    <ext uri="GoogleSheetsCustomDataVersion2">
      <go:sheetsCustomData xmlns:go="http://customooxmlschemas.google.com/" r:id="rId5" roundtripDataChecksum="y9rNq+cJjjqAy26BigXWovDeq+jR1d2LbSRHasy4gaA="/>
    </ext>
  </extLst>
</workbook>
</file>

<file path=xl/sharedStrings.xml><?xml version="1.0" encoding="utf-8"?>
<sst xmlns="http://schemas.openxmlformats.org/spreadsheetml/2006/main" count="582" uniqueCount="397">
  <si>
    <t>STT</t>
  </si>
  <si>
    <t>IELTS Band Level</t>
  </si>
  <si>
    <t>Phân loại</t>
  </si>
  <si>
    <t>Từ vựng &amp; Từ loại</t>
  </si>
  <si>
    <t>Phiên âm</t>
  </si>
  <si>
    <t>Nghĩa tiếng Việt</t>
  </si>
  <si>
    <t>Ví dụ mẫu siêu đơn giản (Band 2.0-3.0)</t>
  </si>
  <si>
    <t>Valid</t>
  </si>
  <si>
    <t>Audio check</t>
  </si>
  <si>
    <t>Tổng số từ nhấn</t>
  </si>
  <si>
    <t>Vị trí nhấn</t>
  </si>
  <si>
    <t>Band 2.0 - 3.0</t>
  </si>
  <si>
    <t>Đồ dùng &amp; lớp học</t>
  </si>
  <si>
    <t>School (n)</t>
  </si>
  <si>
    <t>/skuːl/</t>
  </si>
  <si>
    <t>Trường học</t>
  </si>
  <si>
    <t>My school is near my house.</t>
  </si>
  <si>
    <t>1,2,4,6</t>
  </si>
  <si>
    <t>Class (n)</t>
  </si>
  <si>
    <t>/klɑːs/</t>
  </si>
  <si>
    <t>Lớp học / Buổi học</t>
  </si>
  <si>
    <t>Our class starts at seven.</t>
  </si>
  <si>
    <t>Classroom (n)</t>
  </si>
  <si>
    <t>/ˈklɑːs.ruːm/</t>
  </si>
  <si>
    <t>Phòng học</t>
  </si>
  <si>
    <t>The classroom is clean today.</t>
  </si>
  <si>
    <t>Desk (n)</t>
  </si>
  <si>
    <t>/desk/</t>
  </si>
  <si>
    <t>Bàn học</t>
  </si>
  <si>
    <t>I put my book on the desk.</t>
  </si>
  <si>
    <t>Chair (n)</t>
  </si>
  <si>
    <t>/tʃeər/</t>
  </si>
  <si>
    <t>Ghế</t>
  </si>
  <si>
    <t>This chair is small.</t>
  </si>
  <si>
    <t>Board (n)</t>
  </si>
  <si>
    <t>/bɔːd/</t>
  </si>
  <si>
    <t>Bảng</t>
  </si>
  <si>
    <t>The teacher writes on the board.</t>
  </si>
  <si>
    <t>Book (n)</t>
  </si>
  <si>
    <t>/bʊk/</t>
  </si>
  <si>
    <t>Sách</t>
  </si>
  <si>
    <t>I read a book every day.</t>
  </si>
  <si>
    <t>Notebook (n)</t>
  </si>
  <si>
    <t>/ˈnəʊt.bʊk/</t>
  </si>
  <si>
    <t>Vở ghi</t>
  </si>
  <si>
    <t>My notebook is in my bag.</t>
  </si>
  <si>
    <t>Pen (n)</t>
  </si>
  <si>
    <t>/pen/</t>
  </si>
  <si>
    <t>Bút mực</t>
  </si>
  <si>
    <t>I need a blue pen.</t>
  </si>
  <si>
    <t>Pencil (n)</t>
  </si>
  <si>
    <t>/ˈpen.səl/</t>
  </si>
  <si>
    <t>Bút chì</t>
  </si>
  <si>
    <t>She uses a pencil to draw.</t>
  </si>
  <si>
    <t>Bag (n)</t>
  </si>
  <si>
    <t>/bæɡ/</t>
  </si>
  <si>
    <t>Cặp sách / Túi</t>
  </si>
  <si>
    <t>His school bag is heavy.</t>
  </si>
  <si>
    <t>Paper (n)</t>
  </si>
  <si>
    <t>/ˈpeɪ.pər/</t>
  </si>
  <si>
    <t>Giấy</t>
  </si>
  <si>
    <t>Please give me some paper.</t>
  </si>
  <si>
    <t>Page (n)</t>
  </si>
  <si>
    <t>/peɪdʒ/</t>
  </si>
  <si>
    <t>Trang sách</t>
  </si>
  <si>
    <t>Open your book to page ten.</t>
  </si>
  <si>
    <t>Ruler (n)</t>
  </si>
  <si>
    <t>/ˈruː.lər/</t>
  </si>
  <si>
    <t>Thước kẻ</t>
  </si>
  <si>
    <t>I use a ruler in math class.</t>
  </si>
  <si>
    <t>Eraser (n)</t>
  </si>
  <si>
    <t>/ɪˈreɪ.zər/</t>
  </si>
  <si>
    <t>Cục tẩy</t>
  </si>
  <si>
    <t>This eraser is on my desk.</t>
  </si>
  <si>
    <t>Computer (n)</t>
  </si>
  <si>
    <t>/kəmˈpjuː.tər/</t>
  </si>
  <si>
    <t>Máy tính</t>
  </si>
  <si>
    <t>We use a computer at school.</t>
  </si>
  <si>
    <t>Library (n)</t>
  </si>
  <si>
    <t>/ˈlaɪ.brər.i/</t>
  </si>
  <si>
    <t>Thư viện</t>
  </si>
  <si>
    <t>The library has many books.</t>
  </si>
  <si>
    <t>Uniform (n)</t>
  </si>
  <si>
    <t>/ˈjuː.nɪ.fɔːm/</t>
  </si>
  <si>
    <t>Đồng phục</t>
  </si>
  <si>
    <t>I wear a uniform to school.</t>
  </si>
  <si>
    <t>Bell (n)</t>
  </si>
  <si>
    <t>/bel/</t>
  </si>
  <si>
    <t>Chuông</t>
  </si>
  <si>
    <t>The school bell rings loudly.</t>
  </si>
  <si>
    <t>Homework (n)</t>
  </si>
  <si>
    <t>/ˈhəʊm.wɜːk/</t>
  </si>
  <si>
    <t>Bài tập về nhà</t>
  </si>
  <si>
    <t>I do my homework after dinner.</t>
  </si>
  <si>
    <t>Con người</t>
  </si>
  <si>
    <t>Student (n)</t>
  </si>
  <si>
    <t>/ˈstjuː.dənt/</t>
  </si>
  <si>
    <t>Học sinh / Sinh viên</t>
  </si>
  <si>
    <t>The student is reading a book.</t>
  </si>
  <si>
    <t>Teacher (n)</t>
  </si>
  <si>
    <t>/ˈtiː.tʃər/</t>
  </si>
  <si>
    <t>Giáo viên</t>
  </si>
  <si>
    <t>My teacher is very kind.</t>
  </si>
  <si>
    <t>Classmate (n)</t>
  </si>
  <si>
    <t>/ˈklɑːs.meɪt/</t>
  </si>
  <si>
    <t>Bạn cùng lớp</t>
  </si>
  <si>
    <t>My classmate helps me study.</t>
  </si>
  <si>
    <t>Friend (n)</t>
  </si>
  <si>
    <t>/frend/</t>
  </si>
  <si>
    <t>Bạn bè</t>
  </si>
  <si>
    <t>I study English with my friend.</t>
  </si>
  <si>
    <t>Principal (n)</t>
  </si>
  <si>
    <t>/ˈprɪn.sə.pəl/</t>
  </si>
  <si>
    <t>Hiệu trưởng</t>
  </si>
  <si>
    <t>The principal talks to the students.</t>
  </si>
  <si>
    <t>Parent (n)</t>
  </si>
  <si>
    <t>/ˈpeə.rənt/</t>
  </si>
  <si>
    <t>Phụ huynh</t>
  </si>
  <si>
    <t>My parent comes to school today.</t>
  </si>
  <si>
    <t>Tutor (n)</t>
  </si>
  <si>
    <t>/ˈtjuː.tər/</t>
  </si>
  <si>
    <t>Gia sư</t>
  </si>
  <si>
    <t>I have a tutor for English.</t>
  </si>
  <si>
    <t>Librarian (n)</t>
  </si>
  <si>
    <t>/laɪˈbreə.ri.ən/</t>
  </si>
  <si>
    <t>Thủ thư</t>
  </si>
  <si>
    <t>The librarian gives me a book.</t>
  </si>
  <si>
    <t>Child (n)</t>
  </si>
  <si>
    <t>/tʃaɪld/</t>
  </si>
  <si>
    <t>Trẻ em</t>
  </si>
  <si>
    <t>The child learns new words.</t>
  </si>
  <si>
    <t>Group (n)</t>
  </si>
  <si>
    <t>/ɡruːp/</t>
  </si>
  <si>
    <t>Nhóm</t>
  </si>
  <si>
    <t>We work in a small group.</t>
  </si>
  <si>
    <t>Môn học</t>
  </si>
  <si>
    <t>English (n)</t>
  </si>
  <si>
    <t>/ˈɪŋ.ɡlɪʃ/</t>
  </si>
  <si>
    <t>Tiếng Anh</t>
  </si>
  <si>
    <t>English is my favorite subject.</t>
  </si>
  <si>
    <t>Math (n)</t>
  </si>
  <si>
    <t>/mæθ/</t>
  </si>
  <si>
    <t>Toán học</t>
  </si>
  <si>
    <t>Math is difficult for me.</t>
  </si>
  <si>
    <t>History (n)</t>
  </si>
  <si>
    <t>/ˈhɪs.tər.i/</t>
  </si>
  <si>
    <t>Lịch sử</t>
  </si>
  <si>
    <t>History teaches us about the past.</t>
  </si>
  <si>
    <t>Geography (n)</t>
  </si>
  <si>
    <t>/dʒiˈɒɡ.rə.fi/</t>
  </si>
  <si>
    <t>Địa lý</t>
  </si>
  <si>
    <t>Geography helps me know places.</t>
  </si>
  <si>
    <t>Art (n)</t>
  </si>
  <si>
    <t>/ɑːt/</t>
  </si>
  <si>
    <t>Mỹ thuật</t>
  </si>
  <si>
    <t>I draw pictures in art class.</t>
  </si>
  <si>
    <t>Music (n)</t>
  </si>
  <si>
    <t>/ˈmjuː.zɪk/</t>
  </si>
  <si>
    <t>Âm nhạc</t>
  </si>
  <si>
    <t>Music class is fun.</t>
  </si>
  <si>
    <t>PE (n)</t>
  </si>
  <si>
    <t>/ˌpiː ˈiː/</t>
  </si>
  <si>
    <t>Thể dục</t>
  </si>
  <si>
    <t>We run in PE class.</t>
  </si>
  <si>
    <t>Biology (n)</t>
  </si>
  <si>
    <t>/baɪˈɒl.ə.dʒi/</t>
  </si>
  <si>
    <t>Sinh học</t>
  </si>
  <si>
    <t>Biology is about living things.</t>
  </si>
  <si>
    <t>Chemistry (n)</t>
  </si>
  <si>
    <t>/ˈkem.ɪ.stri/</t>
  </si>
  <si>
    <t>Hóa học</t>
  </si>
  <si>
    <t>Chemistry can be hard.</t>
  </si>
  <si>
    <t>Physics (n)</t>
  </si>
  <si>
    <t>/ˈfɪz.ɪks/</t>
  </si>
  <si>
    <t>Vật lý</t>
  </si>
  <si>
    <t>Physics is about light and sound.</t>
  </si>
  <si>
    <t>Language (n)</t>
  </si>
  <si>
    <t>/ˈlæŋ.ɡwɪdʒ/</t>
  </si>
  <si>
    <t>Ngôn ngữ</t>
  </si>
  <si>
    <t>A new language takes time.</t>
  </si>
  <si>
    <t>Subject (n)</t>
  </si>
  <si>
    <t>/ˈsʌb.dʒekt/</t>
  </si>
  <si>
    <t>My best subject is English.</t>
  </si>
  <si>
    <t>Bài học &amp; kiểm tra</t>
  </si>
  <si>
    <t>Lesson (n)</t>
  </si>
  <si>
    <t>/ˈles.ən/</t>
  </si>
  <si>
    <t>Bài học</t>
  </si>
  <si>
    <t>The lesson is short and easy.</t>
  </si>
  <si>
    <t>Question (n)</t>
  </si>
  <si>
    <t>/ˈkwes.tʃən/</t>
  </si>
  <si>
    <t>Câu hỏi</t>
  </si>
  <si>
    <t>I ask a question in class.</t>
  </si>
  <si>
    <t>Answer (n)</t>
  </si>
  <si>
    <t>/ˈɑːn.sər/</t>
  </si>
  <si>
    <t>Câu trả lời</t>
  </si>
  <si>
    <t>Her answer is correct.</t>
  </si>
  <si>
    <t>Exercise (n)</t>
  </si>
  <si>
    <t>/ˈek.sə.saɪz/</t>
  </si>
  <si>
    <t>Bài tập</t>
  </si>
  <si>
    <t>This exercise is easy.</t>
  </si>
  <si>
    <t>Test (n)</t>
  </si>
  <si>
    <t>/test/</t>
  </si>
  <si>
    <t>Bài kiểm tra</t>
  </si>
  <si>
    <t>We have a test on Friday.</t>
  </si>
  <si>
    <t>Exam (n)</t>
  </si>
  <si>
    <t>/ɪɡˈzæm/</t>
  </si>
  <si>
    <t>Kỳ thi</t>
  </si>
  <si>
    <t>The exam starts at nine.</t>
  </si>
  <si>
    <t>Grade (n)</t>
  </si>
  <si>
    <t>/ɡreɪd/</t>
  </si>
  <si>
    <t>Điểm / Lớp</t>
  </si>
  <si>
    <t>I got a good grade.</t>
  </si>
  <si>
    <t>Mark (n)</t>
  </si>
  <si>
    <t>/mɑːk/</t>
  </si>
  <si>
    <t>Điểm số</t>
  </si>
  <si>
    <t>My mark is better now.</t>
  </si>
  <si>
    <t>Score (n)</t>
  </si>
  <si>
    <t>/skɔːr/</t>
  </si>
  <si>
    <t>His score is very high.</t>
  </si>
  <si>
    <t>Mistake (n)</t>
  </si>
  <si>
    <t>/mɪˈsteɪk/</t>
  </si>
  <si>
    <t>Lỗi sai</t>
  </si>
  <si>
    <t>I made a small mistake.</t>
  </si>
  <si>
    <t>Rule (n)</t>
  </si>
  <si>
    <t>/ruːl/</t>
  </si>
  <si>
    <t>Quy tắc</t>
  </si>
  <si>
    <t>We follow the class rules.</t>
  </si>
  <si>
    <t>Project (n)</t>
  </si>
  <si>
    <t>/ˈprɒdʒ.ekt/</t>
  </si>
  <si>
    <t>Dự án / Bài tập lớn</t>
  </si>
  <si>
    <t>Our project is about schools.</t>
  </si>
  <si>
    <t>Presentation (n)</t>
  </si>
  <si>
    <t>/ˌprez.ənˈteɪ.ʃən/</t>
  </si>
  <si>
    <t>Bài thuyết trình</t>
  </si>
  <si>
    <t>I give a short presentation.</t>
  </si>
  <si>
    <t>Essay (n)</t>
  </si>
  <si>
    <t>/ˈes.eɪ/</t>
  </si>
  <si>
    <t>Bài luận</t>
  </si>
  <si>
    <t>She writes an essay at home.</t>
  </si>
  <si>
    <t>Note (n)</t>
  </si>
  <si>
    <t>/nəʊt/</t>
  </si>
  <si>
    <t>Ghi chú</t>
  </si>
  <si>
    <t>I write a note in my book.</t>
  </si>
  <si>
    <t>Động từ</t>
  </si>
  <si>
    <t>Learn (v)</t>
  </si>
  <si>
    <t>/lɜːn/</t>
  </si>
  <si>
    <t>Học</t>
  </si>
  <si>
    <t>I learn English every day.</t>
  </si>
  <si>
    <t>Study (v)</t>
  </si>
  <si>
    <t>/ˈstʌd.i/</t>
  </si>
  <si>
    <t>Học tập</t>
  </si>
  <si>
    <t>We study at the library.</t>
  </si>
  <si>
    <t>Write (v)</t>
  </si>
  <si>
    <t>/raɪt/</t>
  </si>
  <si>
    <t>Viết</t>
  </si>
  <si>
    <t>Please write your name.</t>
  </si>
  <si>
    <t>Listen (v)</t>
  </si>
  <si>
    <t>/ˈlɪs.ən/</t>
  </si>
  <si>
    <t>Lắng nghe</t>
  </si>
  <si>
    <t>Students listen to the teacher.</t>
  </si>
  <si>
    <t>Speak (v)</t>
  </si>
  <si>
    <t>/spiːk/</t>
  </si>
  <si>
    <t>Nói</t>
  </si>
  <si>
    <t>I speak English in class.</t>
  </si>
  <si>
    <t>Ask (v)</t>
  </si>
  <si>
    <t>/ɑːsk/</t>
  </si>
  <si>
    <t>Hỏi</t>
  </si>
  <si>
    <t>You can ask the teacher.</t>
  </si>
  <si>
    <t>Repeat (v)</t>
  </si>
  <si>
    <t>/rɪˈpiːt/</t>
  </si>
  <si>
    <t>Lặp lại</t>
  </si>
  <si>
    <t>Repeat the word after me.</t>
  </si>
  <si>
    <t>Practice (v)</t>
  </si>
  <si>
    <t>/ˈpræk.tɪs/</t>
  </si>
  <si>
    <t>Luyện tập</t>
  </si>
  <si>
    <t>I practice speaking at home.</t>
  </si>
  <si>
    <t>Remember (v)</t>
  </si>
  <si>
    <t>/rɪˈmem.bər/</t>
  </si>
  <si>
    <t>Nhớ</t>
  </si>
  <si>
    <t>I remember the new words.</t>
  </si>
  <si>
    <t>Forget (v)</t>
  </si>
  <si>
    <t>/fəˈɡet/</t>
  </si>
  <si>
    <t>Quên</t>
  </si>
  <si>
    <t>Do not forget your homework.</t>
  </si>
  <si>
    <t>Understand (v)</t>
  </si>
  <si>
    <t>/ˌʌn.dəˈstænd/</t>
  </si>
  <si>
    <t>Hiểu</t>
  </si>
  <si>
    <t>I understand this lesson.</t>
  </si>
  <si>
    <t>Explain (v)</t>
  </si>
  <si>
    <t>/ɪkˈspleɪn/</t>
  </si>
  <si>
    <t>Giải thích</t>
  </si>
  <si>
    <t>The teacher explains the answer.</t>
  </si>
  <si>
    <t>Teach (v)</t>
  </si>
  <si>
    <t>/tiːtʃ/</t>
  </si>
  <si>
    <t>Dạy</t>
  </si>
  <si>
    <t>She teaches English at school.</t>
  </si>
  <si>
    <t>Help (v)</t>
  </si>
  <si>
    <t>/help/</t>
  </si>
  <si>
    <t>Giúp đỡ</t>
  </si>
  <si>
    <t>My friend helps me learn.</t>
  </si>
  <si>
    <t>Share (v)</t>
  </si>
  <si>
    <t>/ʃeər/</t>
  </si>
  <si>
    <t>Chia sẻ</t>
  </si>
  <si>
    <t>We share one book.</t>
  </si>
  <si>
    <t>Finish (v)</t>
  </si>
  <si>
    <t>/ˈfɪn.ɪʃ/</t>
  </si>
  <si>
    <t>Hoàn thành</t>
  </si>
  <si>
    <t>I finish my homework early.</t>
  </si>
  <si>
    <t>Pass (v)</t>
  </si>
  <si>
    <t>/pɑːs/</t>
  </si>
  <si>
    <t>Đậu / Vượt qua</t>
  </si>
  <si>
    <t>She wants to pass the exam.</t>
  </si>
  <si>
    <t>Fail (v)</t>
  </si>
  <si>
    <t>/feɪl/</t>
  </si>
  <si>
    <t>Trượt / Thất bại</t>
  </si>
  <si>
    <t>I do not want to fail.</t>
  </si>
  <si>
    <t>Join (v)</t>
  </si>
  <si>
    <t>/dʒɔɪn/</t>
  </si>
  <si>
    <t>Tham gia</t>
  </si>
  <si>
    <t>He joins an English club.</t>
  </si>
  <si>
    <t>Choose (v)</t>
  </si>
  <si>
    <t>/tʃuːz/</t>
  </si>
  <si>
    <t>Chọn</t>
  </si>
  <si>
    <t>I choose science this year.</t>
  </si>
  <si>
    <t>Check (v)</t>
  </si>
  <si>
    <t>/tʃek/</t>
  </si>
  <si>
    <t>Kiểm tra</t>
  </si>
  <si>
    <t>Please check your answer.</t>
  </si>
  <si>
    <t>Copy (v)</t>
  </si>
  <si>
    <t>/ˈkɒp.i/</t>
  </si>
  <si>
    <t>Sao chép / Chép lại</t>
  </si>
  <si>
    <t>Do not copy your friend.</t>
  </si>
  <si>
    <t>Spell (v)</t>
  </si>
  <si>
    <t>/spel/</t>
  </si>
  <si>
    <t>Đánh vần</t>
  </si>
  <si>
    <t>Can you spell this word?</t>
  </si>
  <si>
    <t>Tính từ</t>
  </si>
  <si>
    <t>Easy (adj)</t>
  </si>
  <si>
    <t>/ˈiː.zi/</t>
  </si>
  <si>
    <t>Dễ</t>
  </si>
  <si>
    <t>This lesson is easy.</t>
  </si>
  <si>
    <t>Difficult (adj)</t>
  </si>
  <si>
    <t>/ˈdɪf.ɪ.kəlt/</t>
  </si>
  <si>
    <t>Khó</t>
  </si>
  <si>
    <t>The exam is difficult.</t>
  </si>
  <si>
    <t>Important (adj)</t>
  </si>
  <si>
    <t>/ɪmˈpɔː.tənt/</t>
  </si>
  <si>
    <t>Quan trọng</t>
  </si>
  <si>
    <t>Education is important.</t>
  </si>
  <si>
    <t>Useful (adj)</t>
  </si>
  <si>
    <t>/ˈjuːs.fəl/</t>
  </si>
  <si>
    <t>Hữu ích</t>
  </si>
  <si>
    <t>This book is useful.</t>
  </si>
  <si>
    <t>Boring (adj)</t>
  </si>
  <si>
    <t>/ˈbɔː.rɪŋ/</t>
  </si>
  <si>
    <t>Nhàm chán</t>
  </si>
  <si>
    <t>The lesson is boring today.</t>
  </si>
  <si>
    <t>Interesting (adj)</t>
  </si>
  <si>
    <t>/ˈɪn.trəs.tɪŋ/</t>
  </si>
  <si>
    <t>Thú vị</t>
  </si>
  <si>
    <t>Science is very interesting.</t>
  </si>
  <si>
    <t>Quiet (adj)</t>
  </si>
  <si>
    <t>/ˈkwaɪ.ət/</t>
  </si>
  <si>
    <t>Yên tĩnh</t>
  </si>
  <si>
    <t>The library is quiet.</t>
  </si>
  <si>
    <t>Busy (adj)</t>
  </si>
  <si>
    <t>/ˈbɪz.i/</t>
  </si>
  <si>
    <t>Bận rộn</t>
  </si>
  <si>
    <t>The teacher is busy.</t>
  </si>
  <si>
    <t>Late (adj)</t>
  </si>
  <si>
    <t>/leɪt/</t>
  </si>
  <si>
    <t>Muộn</t>
  </si>
  <si>
    <t>I am late for class.</t>
  </si>
  <si>
    <t>Early (adj)</t>
  </si>
  <si>
    <t>/ˈɜː.li/</t>
  </si>
  <si>
    <t>Sớm</t>
  </si>
  <si>
    <t>She comes to school early.</t>
  </si>
  <si>
    <t>Online (adj)</t>
  </si>
  <si>
    <t>/ˌɒnˈlaɪn/</t>
  </si>
  <si>
    <t>Trực tuyến</t>
  </si>
  <si>
    <t>We have an online class.</t>
  </si>
  <si>
    <t>Private (adj)</t>
  </si>
  <si>
    <t>/ˈpraɪ.vət/</t>
  </si>
  <si>
    <t>Tư nhân / Riêng</t>
  </si>
  <si>
    <t>He goes to a private school.</t>
  </si>
  <si>
    <t>Public (adj)</t>
  </si>
  <si>
    <t>/ˈpʌb.lɪk/</t>
  </si>
  <si>
    <t>Công lập / Công cộng</t>
  </si>
  <si>
    <t>My sister studies at a public school.</t>
  </si>
  <si>
    <t>Free (adj)</t>
  </si>
  <si>
    <t>/friː/</t>
  </si>
  <si>
    <t>Miễn phí / Rảnh</t>
  </si>
  <si>
    <t>The school gives free books.</t>
  </si>
  <si>
    <t>Ready (adj)</t>
  </si>
  <si>
    <t>/ˈred.i/</t>
  </si>
  <si>
    <t>Sẵn sàng</t>
  </si>
  <si>
    <t>I am ready for the test.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</si>
</sst>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color rgb="FF00FF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A4B7C"/>
        <bgColor rgb="FF2A4B7C"/>
      </patternFill>
    </fill>
    <fill>
      <patternFill patternType="solid">
        <fgColor rgb="FFF7F9FC"/>
        <bgColor rgb="FFF7F9FC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readingOrder="0" vertical="center"/>
    </xf>
    <xf borderId="0" fillId="0" fontId="3" numFmtId="0" xfId="0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21.0"/>
    <col customWidth="1" min="5" max="5" width="22.0"/>
    <col customWidth="1" min="6" max="6" width="24.0"/>
    <col customWidth="1" min="7" max="7" width="42.0"/>
    <col customWidth="1" min="8" max="8" width="10.14"/>
    <col customWidth="1" min="9" max="9" width="10.43"/>
    <col customWidth="1" min="10" max="11" width="10.14"/>
    <col customWidth="1" min="12" max="12" width="11.86"/>
    <col customWidth="1" min="13" max="13" width="8.57"/>
    <col customWidth="1" min="14" max="14" width="7.0"/>
    <col customWidth="1" min="15" max="18" width="12.0"/>
    <col customWidth="1" min="19" max="33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1.0</v>
      </c>
      <c r="I1" s="2">
        <v>2.0</v>
      </c>
      <c r="J1" s="2">
        <v>3.0</v>
      </c>
      <c r="K1" s="2">
        <v>4.0</v>
      </c>
      <c r="L1" s="2">
        <v>5.0</v>
      </c>
      <c r="M1" s="2">
        <v>6.0</v>
      </c>
      <c r="N1" s="2">
        <v>7.0</v>
      </c>
      <c r="O1" s="1" t="s">
        <v>7</v>
      </c>
      <c r="P1" s="1" t="s">
        <v>8</v>
      </c>
      <c r="Q1" s="2" t="s">
        <v>9</v>
      </c>
      <c r="R1" s="2" t="s">
        <v>10</v>
      </c>
    </row>
    <row r="2" ht="19.5" customHeight="1">
      <c r="A2" s="3">
        <v>1.0</v>
      </c>
      <c r="B2" s="4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tr">
        <f>IFERROR(__xludf.DUMMYFUNCTION("split(G2, "" "")"),"My")</f>
        <v>My</v>
      </c>
      <c r="I2" s="6" t="str">
        <f>IFERROR(__xludf.DUMMYFUNCTION("""COMPUTED_VALUE"""),"school")</f>
        <v>school</v>
      </c>
      <c r="J2" s="6" t="str">
        <f>IFERROR(__xludf.DUMMYFUNCTION("""COMPUTED_VALUE"""),"is")</f>
        <v>is</v>
      </c>
      <c r="K2" s="6" t="str">
        <f>IFERROR(__xludf.DUMMYFUNCTION("""COMPUTED_VALUE"""),"near")</f>
        <v>near</v>
      </c>
      <c r="L2" s="6" t="str">
        <f>IFERROR(__xludf.DUMMYFUNCTION("""COMPUTED_VALUE"""),"my")</f>
        <v>my</v>
      </c>
      <c r="M2" s="6" t="str">
        <f>IFERROR(__xludf.DUMMYFUNCTION("""COMPUTED_VALUE"""),"house.")</f>
        <v>house.</v>
      </c>
      <c r="N2" s="6"/>
      <c r="O2" s="4"/>
      <c r="P2" s="4"/>
      <c r="Q2" s="4">
        <v>4.0</v>
      </c>
      <c r="R2" s="4" t="s">
        <v>17</v>
      </c>
      <c r="S2" s="7"/>
    </row>
    <row r="3" ht="19.5" customHeight="1">
      <c r="A3" s="8">
        <v>2.0</v>
      </c>
      <c r="B3" s="9" t="s">
        <v>11</v>
      </c>
      <c r="C3" s="9" t="s">
        <v>12</v>
      </c>
      <c r="D3" s="10" t="s">
        <v>18</v>
      </c>
      <c r="E3" s="10" t="s">
        <v>19</v>
      </c>
      <c r="F3" s="10" t="s">
        <v>20</v>
      </c>
      <c r="G3" s="10" t="s">
        <v>21</v>
      </c>
      <c r="H3" s="6" t="str">
        <f>IFERROR(__xludf.DUMMYFUNCTION("split(G3, "" "")"),"Our")</f>
        <v>Our</v>
      </c>
      <c r="I3" s="10" t="str">
        <f>IFERROR(__xludf.DUMMYFUNCTION("""COMPUTED_VALUE"""),"class")</f>
        <v>class</v>
      </c>
      <c r="J3" s="10" t="str">
        <f>IFERROR(__xludf.DUMMYFUNCTION("""COMPUTED_VALUE"""),"starts")</f>
        <v>starts</v>
      </c>
      <c r="K3" s="10" t="str">
        <f>IFERROR(__xludf.DUMMYFUNCTION("""COMPUTED_VALUE"""),"at")</f>
        <v>at</v>
      </c>
      <c r="L3" s="10" t="str">
        <f>IFERROR(__xludf.DUMMYFUNCTION("""COMPUTED_VALUE"""),"seven.")</f>
        <v>seven.</v>
      </c>
      <c r="M3" s="10"/>
      <c r="N3" s="10"/>
      <c r="O3" s="9"/>
      <c r="P3" s="9"/>
      <c r="Q3" s="8">
        <v>4.0</v>
      </c>
      <c r="R3" s="8">
        <v>1235.0</v>
      </c>
    </row>
    <row r="4" ht="19.5" customHeight="1">
      <c r="A4" s="3">
        <v>3.0</v>
      </c>
      <c r="B4" s="4" t="s">
        <v>11</v>
      </c>
      <c r="C4" s="4" t="s">
        <v>12</v>
      </c>
      <c r="D4" s="5" t="s">
        <v>22</v>
      </c>
      <c r="E4" s="5" t="s">
        <v>23</v>
      </c>
      <c r="F4" s="5" t="s">
        <v>24</v>
      </c>
      <c r="G4" s="5" t="s">
        <v>25</v>
      </c>
      <c r="H4" s="6" t="str">
        <f>IFERROR(__xludf.DUMMYFUNCTION("split(G4, "" "")"),"The")</f>
        <v>The</v>
      </c>
      <c r="I4" s="5" t="str">
        <f>IFERROR(__xludf.DUMMYFUNCTION("""COMPUTED_VALUE"""),"classroom")</f>
        <v>classroom</v>
      </c>
      <c r="J4" s="5" t="str">
        <f>IFERROR(__xludf.DUMMYFUNCTION("""COMPUTED_VALUE"""),"is")</f>
        <v>is</v>
      </c>
      <c r="K4" s="5" t="str">
        <f>IFERROR(__xludf.DUMMYFUNCTION("""COMPUTED_VALUE"""),"clean")</f>
        <v>clean</v>
      </c>
      <c r="L4" s="5" t="str">
        <f>IFERROR(__xludf.DUMMYFUNCTION("""COMPUTED_VALUE"""),"today.")</f>
        <v>today.</v>
      </c>
      <c r="M4" s="5"/>
      <c r="N4" s="5"/>
      <c r="O4" s="4"/>
      <c r="P4" s="4"/>
      <c r="Q4" s="3">
        <v>4.0</v>
      </c>
      <c r="R4" s="8">
        <v>1245.0</v>
      </c>
    </row>
    <row r="5" ht="19.5" customHeight="1">
      <c r="A5" s="8">
        <v>4.0</v>
      </c>
      <c r="B5" s="9" t="s">
        <v>11</v>
      </c>
      <c r="C5" s="9" t="s">
        <v>12</v>
      </c>
      <c r="D5" s="10" t="s">
        <v>26</v>
      </c>
      <c r="E5" s="10" t="s">
        <v>27</v>
      </c>
      <c r="F5" s="10" t="s">
        <v>28</v>
      </c>
      <c r="G5" s="10" t="s">
        <v>29</v>
      </c>
      <c r="H5" s="6" t="str">
        <f>IFERROR(__xludf.DUMMYFUNCTION("split(G5, "" "")"),"I")</f>
        <v>I</v>
      </c>
      <c r="I5" s="10" t="str">
        <f>IFERROR(__xludf.DUMMYFUNCTION("""COMPUTED_VALUE"""),"put")</f>
        <v>put</v>
      </c>
      <c r="J5" s="10" t="str">
        <f>IFERROR(__xludf.DUMMYFUNCTION("""COMPUTED_VALUE"""),"my")</f>
        <v>my</v>
      </c>
      <c r="K5" s="10" t="str">
        <f>IFERROR(__xludf.DUMMYFUNCTION("""COMPUTED_VALUE"""),"book")</f>
        <v>book</v>
      </c>
      <c r="L5" s="10" t="str">
        <f>IFERROR(__xludf.DUMMYFUNCTION("""COMPUTED_VALUE"""),"on")</f>
        <v>on</v>
      </c>
      <c r="M5" s="10" t="str">
        <f>IFERROR(__xludf.DUMMYFUNCTION("""COMPUTED_VALUE"""),"the")</f>
        <v>the</v>
      </c>
      <c r="N5" s="10" t="str">
        <f>IFERROR(__xludf.DUMMYFUNCTION("""COMPUTED_VALUE"""),"desk.")</f>
        <v>desk.</v>
      </c>
      <c r="O5" s="9"/>
      <c r="P5" s="9"/>
      <c r="Q5" s="8">
        <v>4.0</v>
      </c>
      <c r="R5" s="8">
        <v>1247.0</v>
      </c>
    </row>
    <row r="6" ht="19.5" customHeight="1">
      <c r="A6" s="3">
        <v>5.0</v>
      </c>
      <c r="B6" s="4" t="s">
        <v>11</v>
      </c>
      <c r="C6" s="4" t="s">
        <v>12</v>
      </c>
      <c r="D6" s="5" t="s">
        <v>30</v>
      </c>
      <c r="E6" s="5" t="s">
        <v>31</v>
      </c>
      <c r="F6" s="5" t="s">
        <v>32</v>
      </c>
      <c r="G6" s="5" t="s">
        <v>33</v>
      </c>
      <c r="H6" s="6" t="str">
        <f>IFERROR(__xludf.DUMMYFUNCTION("split(G6, "" "")"),"This")</f>
        <v>This</v>
      </c>
      <c r="I6" s="5" t="str">
        <f>IFERROR(__xludf.DUMMYFUNCTION("""COMPUTED_VALUE"""),"chair")</f>
        <v>chair</v>
      </c>
      <c r="J6" s="5" t="str">
        <f>IFERROR(__xludf.DUMMYFUNCTION("""COMPUTED_VALUE"""),"is")</f>
        <v>is</v>
      </c>
      <c r="K6" s="5" t="str">
        <f>IFERROR(__xludf.DUMMYFUNCTION("""COMPUTED_VALUE"""),"small.")</f>
        <v>small.</v>
      </c>
      <c r="L6" s="5"/>
      <c r="M6" s="5"/>
      <c r="N6" s="5"/>
      <c r="O6" s="4"/>
      <c r="P6" s="4"/>
      <c r="Q6" s="3">
        <v>3.0</v>
      </c>
      <c r="R6" s="8">
        <v>124.0</v>
      </c>
    </row>
    <row r="7" ht="19.5" customHeight="1">
      <c r="A7" s="8">
        <v>6.0</v>
      </c>
      <c r="B7" s="9" t="s">
        <v>11</v>
      </c>
      <c r="C7" s="9" t="s">
        <v>12</v>
      </c>
      <c r="D7" s="10" t="s">
        <v>34</v>
      </c>
      <c r="E7" s="10" t="s">
        <v>35</v>
      </c>
      <c r="F7" s="10" t="s">
        <v>36</v>
      </c>
      <c r="G7" s="10" t="s">
        <v>37</v>
      </c>
      <c r="H7" s="6" t="str">
        <f>IFERROR(__xludf.DUMMYFUNCTION("split(G7, "" "")"),"The")</f>
        <v>The</v>
      </c>
      <c r="I7" s="10" t="str">
        <f>IFERROR(__xludf.DUMMYFUNCTION("""COMPUTED_VALUE"""),"teacher")</f>
        <v>teacher</v>
      </c>
      <c r="J7" s="10" t="str">
        <f>IFERROR(__xludf.DUMMYFUNCTION("""COMPUTED_VALUE"""),"writes")</f>
        <v>writes</v>
      </c>
      <c r="K7" s="10" t="str">
        <f>IFERROR(__xludf.DUMMYFUNCTION("""COMPUTED_VALUE"""),"on")</f>
        <v>on</v>
      </c>
      <c r="L7" s="10" t="str">
        <f>IFERROR(__xludf.DUMMYFUNCTION("""COMPUTED_VALUE"""),"the")</f>
        <v>the</v>
      </c>
      <c r="M7" s="10" t="str">
        <f>IFERROR(__xludf.DUMMYFUNCTION("""COMPUTED_VALUE"""),"board.")</f>
        <v>board.</v>
      </c>
      <c r="N7" s="10"/>
      <c r="O7" s="9"/>
      <c r="P7" s="9"/>
      <c r="Q7" s="8">
        <v>4.0</v>
      </c>
      <c r="R7" s="8">
        <v>1236.0</v>
      </c>
    </row>
    <row r="8" ht="19.5" customHeight="1">
      <c r="A8" s="3">
        <v>7.0</v>
      </c>
      <c r="B8" s="4" t="s">
        <v>11</v>
      </c>
      <c r="C8" s="4" t="s">
        <v>12</v>
      </c>
      <c r="D8" s="5" t="s">
        <v>38</v>
      </c>
      <c r="E8" s="5" t="s">
        <v>39</v>
      </c>
      <c r="F8" s="5" t="s">
        <v>40</v>
      </c>
      <c r="G8" s="5" t="s">
        <v>41</v>
      </c>
      <c r="H8" s="6" t="str">
        <f>IFERROR(__xludf.DUMMYFUNCTION("split(G8, "" "")"),"I")</f>
        <v>I</v>
      </c>
      <c r="I8" s="5" t="str">
        <f>IFERROR(__xludf.DUMMYFUNCTION("""COMPUTED_VALUE"""),"read")</f>
        <v>read</v>
      </c>
      <c r="J8" s="5" t="str">
        <f>IFERROR(__xludf.DUMMYFUNCTION("""COMPUTED_VALUE"""),"a")</f>
        <v>a</v>
      </c>
      <c r="K8" s="5" t="str">
        <f>IFERROR(__xludf.DUMMYFUNCTION("""COMPUTED_VALUE"""),"book")</f>
        <v>book</v>
      </c>
      <c r="L8" s="5" t="str">
        <f>IFERROR(__xludf.DUMMYFUNCTION("""COMPUTED_VALUE"""),"every")</f>
        <v>every</v>
      </c>
      <c r="M8" s="5" t="str">
        <f>IFERROR(__xludf.DUMMYFUNCTION("""COMPUTED_VALUE"""),"day.")</f>
        <v>day.</v>
      </c>
      <c r="N8" s="5"/>
      <c r="O8" s="4"/>
      <c r="P8" s="4"/>
      <c r="Q8" s="3">
        <v>4.0</v>
      </c>
      <c r="R8" s="8">
        <v>1245.0</v>
      </c>
    </row>
    <row r="9" ht="19.5" customHeight="1">
      <c r="A9" s="8">
        <v>8.0</v>
      </c>
      <c r="B9" s="9" t="s">
        <v>11</v>
      </c>
      <c r="C9" s="9" t="s">
        <v>12</v>
      </c>
      <c r="D9" s="10" t="s">
        <v>42</v>
      </c>
      <c r="E9" s="10" t="s">
        <v>43</v>
      </c>
      <c r="F9" s="10" t="s">
        <v>44</v>
      </c>
      <c r="G9" s="10" t="s">
        <v>45</v>
      </c>
      <c r="H9" s="6" t="str">
        <f>IFERROR(__xludf.DUMMYFUNCTION("split(G9, "" "")"),"My")</f>
        <v>My</v>
      </c>
      <c r="I9" s="10" t="str">
        <f>IFERROR(__xludf.DUMMYFUNCTION("""COMPUTED_VALUE"""),"notebook")</f>
        <v>notebook</v>
      </c>
      <c r="J9" s="10" t="str">
        <f>IFERROR(__xludf.DUMMYFUNCTION("""COMPUTED_VALUE"""),"is")</f>
        <v>is</v>
      </c>
      <c r="K9" s="10" t="str">
        <f>IFERROR(__xludf.DUMMYFUNCTION("""COMPUTED_VALUE"""),"in")</f>
        <v>in</v>
      </c>
      <c r="L9" s="10" t="str">
        <f>IFERROR(__xludf.DUMMYFUNCTION("""COMPUTED_VALUE"""),"my")</f>
        <v>my</v>
      </c>
      <c r="M9" s="10" t="str">
        <f>IFERROR(__xludf.DUMMYFUNCTION("""COMPUTED_VALUE"""),"bag.")</f>
        <v>bag.</v>
      </c>
      <c r="N9" s="10"/>
      <c r="O9" s="9"/>
      <c r="P9" s="9"/>
      <c r="Q9" s="8">
        <v>3.0</v>
      </c>
      <c r="R9" s="8">
        <v>126.0</v>
      </c>
    </row>
    <row r="10" ht="19.5" customHeight="1">
      <c r="A10" s="3">
        <v>9.0</v>
      </c>
      <c r="B10" s="4" t="s">
        <v>11</v>
      </c>
      <c r="C10" s="4" t="s">
        <v>12</v>
      </c>
      <c r="D10" s="5" t="s">
        <v>46</v>
      </c>
      <c r="E10" s="5" t="s">
        <v>47</v>
      </c>
      <c r="F10" s="5" t="s">
        <v>48</v>
      </c>
      <c r="G10" s="5" t="s">
        <v>49</v>
      </c>
      <c r="H10" s="6" t="str">
        <f>IFERROR(__xludf.DUMMYFUNCTION("split(G10, "" "")"),"I")</f>
        <v>I</v>
      </c>
      <c r="I10" s="5" t="str">
        <f>IFERROR(__xludf.DUMMYFUNCTION("""COMPUTED_VALUE"""),"need")</f>
        <v>need</v>
      </c>
      <c r="J10" s="5" t="str">
        <f>IFERROR(__xludf.DUMMYFUNCTION("""COMPUTED_VALUE"""),"a")</f>
        <v>a</v>
      </c>
      <c r="K10" s="5" t="str">
        <f>IFERROR(__xludf.DUMMYFUNCTION("""COMPUTED_VALUE"""),"blue")</f>
        <v>blue</v>
      </c>
      <c r="L10" s="5" t="str">
        <f>IFERROR(__xludf.DUMMYFUNCTION("""COMPUTED_VALUE"""),"pen.")</f>
        <v>pen.</v>
      </c>
      <c r="M10" s="5"/>
      <c r="N10" s="5"/>
      <c r="O10" s="4"/>
      <c r="P10" s="4"/>
      <c r="Q10" s="3">
        <v>4.0</v>
      </c>
      <c r="R10" s="8">
        <v>1245.0</v>
      </c>
    </row>
    <row r="11" ht="19.5" customHeight="1">
      <c r="A11" s="8">
        <v>10.0</v>
      </c>
      <c r="B11" s="9" t="s">
        <v>11</v>
      </c>
      <c r="C11" s="9" t="s">
        <v>12</v>
      </c>
      <c r="D11" s="10" t="s">
        <v>50</v>
      </c>
      <c r="E11" s="10" t="s">
        <v>51</v>
      </c>
      <c r="F11" s="10" t="s">
        <v>52</v>
      </c>
      <c r="G11" s="10" t="s">
        <v>53</v>
      </c>
      <c r="H11" s="6" t="str">
        <f>IFERROR(__xludf.DUMMYFUNCTION("split(G11, "" "")"),"She")</f>
        <v>She</v>
      </c>
      <c r="I11" s="10" t="str">
        <f>IFERROR(__xludf.DUMMYFUNCTION("""COMPUTED_VALUE"""),"uses")</f>
        <v>uses</v>
      </c>
      <c r="J11" s="10" t="str">
        <f>IFERROR(__xludf.DUMMYFUNCTION("""COMPUTED_VALUE"""),"a")</f>
        <v>a</v>
      </c>
      <c r="K11" s="10" t="str">
        <f>IFERROR(__xludf.DUMMYFUNCTION("""COMPUTED_VALUE"""),"pencil")</f>
        <v>pencil</v>
      </c>
      <c r="L11" s="10" t="str">
        <f>IFERROR(__xludf.DUMMYFUNCTION("""COMPUTED_VALUE"""),"to")</f>
        <v>to</v>
      </c>
      <c r="M11" s="10" t="str">
        <f>IFERROR(__xludf.DUMMYFUNCTION("""COMPUTED_VALUE"""),"draw.")</f>
        <v>draw.</v>
      </c>
      <c r="N11" s="10"/>
      <c r="O11" s="9"/>
      <c r="P11" s="9"/>
      <c r="Q11" s="8">
        <v>4.0</v>
      </c>
      <c r="R11" s="8">
        <v>1246.0</v>
      </c>
    </row>
    <row r="12" ht="19.5" customHeight="1">
      <c r="A12" s="3">
        <v>11.0</v>
      </c>
      <c r="B12" s="4" t="s">
        <v>11</v>
      </c>
      <c r="C12" s="4" t="s">
        <v>12</v>
      </c>
      <c r="D12" s="5" t="s">
        <v>54</v>
      </c>
      <c r="E12" s="5" t="s">
        <v>55</v>
      </c>
      <c r="F12" s="5" t="s">
        <v>56</v>
      </c>
      <c r="G12" s="5" t="s">
        <v>57</v>
      </c>
      <c r="H12" s="6" t="str">
        <f>IFERROR(__xludf.DUMMYFUNCTION("split(G12, "" "")"),"His")</f>
        <v>His</v>
      </c>
      <c r="I12" s="5" t="str">
        <f>IFERROR(__xludf.DUMMYFUNCTION("""COMPUTED_VALUE"""),"school")</f>
        <v>school</v>
      </c>
      <c r="J12" s="5" t="str">
        <f>IFERROR(__xludf.DUMMYFUNCTION("""COMPUTED_VALUE"""),"bag")</f>
        <v>bag</v>
      </c>
      <c r="K12" s="5" t="str">
        <f>IFERROR(__xludf.DUMMYFUNCTION("""COMPUTED_VALUE"""),"is")</f>
        <v>is</v>
      </c>
      <c r="L12" s="5" t="str">
        <f>IFERROR(__xludf.DUMMYFUNCTION("""COMPUTED_VALUE"""),"heavy.")</f>
        <v>heavy.</v>
      </c>
      <c r="M12" s="5"/>
      <c r="N12" s="5"/>
      <c r="O12" s="4"/>
      <c r="P12" s="4"/>
      <c r="Q12" s="3">
        <v>4.0</v>
      </c>
      <c r="R12" s="8">
        <v>1235.0</v>
      </c>
    </row>
    <row r="13" ht="19.5" customHeight="1">
      <c r="A13" s="8">
        <v>12.0</v>
      </c>
      <c r="B13" s="9" t="s">
        <v>11</v>
      </c>
      <c r="C13" s="9" t="s">
        <v>12</v>
      </c>
      <c r="D13" s="10" t="s">
        <v>58</v>
      </c>
      <c r="E13" s="10" t="s">
        <v>59</v>
      </c>
      <c r="F13" s="10" t="s">
        <v>60</v>
      </c>
      <c r="G13" s="10" t="s">
        <v>61</v>
      </c>
      <c r="H13" s="6" t="str">
        <f>IFERROR(__xludf.DUMMYFUNCTION("split(G13, "" "")"),"Please")</f>
        <v>Please</v>
      </c>
      <c r="I13" s="10" t="str">
        <f>IFERROR(__xludf.DUMMYFUNCTION("""COMPUTED_VALUE"""),"give")</f>
        <v>give</v>
      </c>
      <c r="J13" s="10" t="str">
        <f>IFERROR(__xludf.DUMMYFUNCTION("""COMPUTED_VALUE"""),"me")</f>
        <v>me</v>
      </c>
      <c r="K13" s="10" t="str">
        <f>IFERROR(__xludf.DUMMYFUNCTION("""COMPUTED_VALUE"""),"some")</f>
        <v>some</v>
      </c>
      <c r="L13" s="10" t="str">
        <f>IFERROR(__xludf.DUMMYFUNCTION("""COMPUTED_VALUE"""),"paper.")</f>
        <v>paper.</v>
      </c>
      <c r="M13" s="10"/>
      <c r="N13" s="10"/>
      <c r="O13" s="9"/>
      <c r="P13" s="9"/>
      <c r="Q13" s="8">
        <v>3.0</v>
      </c>
      <c r="R13" s="8">
        <v>125.0</v>
      </c>
    </row>
    <row r="14" ht="19.5" customHeight="1">
      <c r="A14" s="3">
        <v>13.0</v>
      </c>
      <c r="B14" s="4" t="s">
        <v>11</v>
      </c>
      <c r="C14" s="4" t="s">
        <v>12</v>
      </c>
      <c r="D14" s="5" t="s">
        <v>62</v>
      </c>
      <c r="E14" s="5" t="s">
        <v>63</v>
      </c>
      <c r="F14" s="5" t="s">
        <v>64</v>
      </c>
      <c r="G14" s="5" t="s">
        <v>65</v>
      </c>
      <c r="H14" s="6" t="str">
        <f>IFERROR(__xludf.DUMMYFUNCTION("split(G14, "" "")"),"Open")</f>
        <v>Open</v>
      </c>
      <c r="I14" s="5" t="str">
        <f>IFERROR(__xludf.DUMMYFUNCTION("""COMPUTED_VALUE"""),"your")</f>
        <v>your</v>
      </c>
      <c r="J14" s="5" t="str">
        <f>IFERROR(__xludf.DUMMYFUNCTION("""COMPUTED_VALUE"""),"book")</f>
        <v>book</v>
      </c>
      <c r="K14" s="5" t="str">
        <f>IFERROR(__xludf.DUMMYFUNCTION("""COMPUTED_VALUE"""),"to")</f>
        <v>to</v>
      </c>
      <c r="L14" s="5" t="str">
        <f>IFERROR(__xludf.DUMMYFUNCTION("""COMPUTED_VALUE"""),"page")</f>
        <v>page</v>
      </c>
      <c r="M14" s="5" t="str">
        <f>IFERROR(__xludf.DUMMYFUNCTION("""COMPUTED_VALUE"""),"ten.")</f>
        <v>ten.</v>
      </c>
      <c r="N14" s="5"/>
      <c r="O14" s="4"/>
      <c r="P14" s="4"/>
      <c r="Q14" s="3">
        <v>4.0</v>
      </c>
      <c r="R14" s="8">
        <v>1356.0</v>
      </c>
    </row>
    <row r="15" ht="19.5" customHeight="1">
      <c r="A15" s="8">
        <v>14.0</v>
      </c>
      <c r="B15" s="9" t="s">
        <v>11</v>
      </c>
      <c r="C15" s="9" t="s">
        <v>12</v>
      </c>
      <c r="D15" s="10" t="s">
        <v>66</v>
      </c>
      <c r="E15" s="10" t="s">
        <v>67</v>
      </c>
      <c r="F15" s="10" t="s">
        <v>68</v>
      </c>
      <c r="G15" s="10" t="s">
        <v>69</v>
      </c>
      <c r="H15" s="6" t="str">
        <f>IFERROR(__xludf.DUMMYFUNCTION("split(G15, "" "")"),"I")</f>
        <v>I</v>
      </c>
      <c r="I15" s="10" t="str">
        <f>IFERROR(__xludf.DUMMYFUNCTION("""COMPUTED_VALUE"""),"use")</f>
        <v>use</v>
      </c>
      <c r="J15" s="10" t="str">
        <f>IFERROR(__xludf.DUMMYFUNCTION("""COMPUTED_VALUE"""),"a")</f>
        <v>a</v>
      </c>
      <c r="K15" s="10" t="str">
        <f>IFERROR(__xludf.DUMMYFUNCTION("""COMPUTED_VALUE"""),"ruler")</f>
        <v>ruler</v>
      </c>
      <c r="L15" s="10" t="str">
        <f>IFERROR(__xludf.DUMMYFUNCTION("""COMPUTED_VALUE"""),"in")</f>
        <v>in</v>
      </c>
      <c r="M15" s="10" t="str">
        <f>IFERROR(__xludf.DUMMYFUNCTION("""COMPUTED_VALUE"""),"math")</f>
        <v>math</v>
      </c>
      <c r="N15" s="10" t="str">
        <f>IFERROR(__xludf.DUMMYFUNCTION("""COMPUTED_VALUE"""),"class.")</f>
        <v>class.</v>
      </c>
      <c r="O15" s="9"/>
      <c r="P15" s="9"/>
      <c r="Q15" s="8">
        <v>5.0</v>
      </c>
      <c r="R15" s="8">
        <v>12467.0</v>
      </c>
    </row>
    <row r="16" ht="19.5" customHeight="1">
      <c r="A16" s="3">
        <v>15.0</v>
      </c>
      <c r="B16" s="4" t="s">
        <v>11</v>
      </c>
      <c r="C16" s="4" t="s">
        <v>12</v>
      </c>
      <c r="D16" s="5" t="s">
        <v>70</v>
      </c>
      <c r="E16" s="5" t="s">
        <v>71</v>
      </c>
      <c r="F16" s="5" t="s">
        <v>72</v>
      </c>
      <c r="G16" s="5" t="s">
        <v>73</v>
      </c>
      <c r="H16" s="6" t="str">
        <f>IFERROR(__xludf.DUMMYFUNCTION("split(G16, "" "")"),"This")</f>
        <v>This</v>
      </c>
      <c r="I16" s="5" t="str">
        <f>IFERROR(__xludf.DUMMYFUNCTION("""COMPUTED_VALUE"""),"eraser")</f>
        <v>eraser</v>
      </c>
      <c r="J16" s="5" t="str">
        <f>IFERROR(__xludf.DUMMYFUNCTION("""COMPUTED_VALUE"""),"is")</f>
        <v>is</v>
      </c>
      <c r="K16" s="5" t="str">
        <f>IFERROR(__xludf.DUMMYFUNCTION("""COMPUTED_VALUE"""),"on")</f>
        <v>on</v>
      </c>
      <c r="L16" s="5" t="str">
        <f>IFERROR(__xludf.DUMMYFUNCTION("""COMPUTED_VALUE"""),"my")</f>
        <v>my</v>
      </c>
      <c r="M16" s="5" t="str">
        <f>IFERROR(__xludf.DUMMYFUNCTION("""COMPUTED_VALUE"""),"desk.")</f>
        <v>desk.</v>
      </c>
      <c r="N16" s="5"/>
      <c r="O16" s="4"/>
      <c r="P16" s="4"/>
      <c r="Q16" s="3">
        <v>3.0</v>
      </c>
      <c r="R16" s="8">
        <v>126.0</v>
      </c>
    </row>
    <row r="17" ht="19.5" customHeight="1">
      <c r="A17" s="8">
        <v>16.0</v>
      </c>
      <c r="B17" s="9" t="s">
        <v>11</v>
      </c>
      <c r="C17" s="9" t="s">
        <v>12</v>
      </c>
      <c r="D17" s="10" t="s">
        <v>74</v>
      </c>
      <c r="E17" s="10" t="s">
        <v>75</v>
      </c>
      <c r="F17" s="10" t="s">
        <v>76</v>
      </c>
      <c r="G17" s="10" t="s">
        <v>77</v>
      </c>
      <c r="H17" s="6" t="str">
        <f>IFERROR(__xludf.DUMMYFUNCTION("split(G17, "" "")"),"We")</f>
        <v>We</v>
      </c>
      <c r="I17" s="10" t="str">
        <f>IFERROR(__xludf.DUMMYFUNCTION("""COMPUTED_VALUE"""),"use")</f>
        <v>use</v>
      </c>
      <c r="J17" s="10" t="str">
        <f>IFERROR(__xludf.DUMMYFUNCTION("""COMPUTED_VALUE"""),"a")</f>
        <v>a</v>
      </c>
      <c r="K17" s="10" t="str">
        <f>IFERROR(__xludf.DUMMYFUNCTION("""COMPUTED_VALUE"""),"computer")</f>
        <v>computer</v>
      </c>
      <c r="L17" s="10" t="str">
        <f>IFERROR(__xludf.DUMMYFUNCTION("""COMPUTED_VALUE"""),"at")</f>
        <v>at</v>
      </c>
      <c r="M17" s="10" t="str">
        <f>IFERROR(__xludf.DUMMYFUNCTION("""COMPUTED_VALUE"""),"school.")</f>
        <v>school.</v>
      </c>
      <c r="N17" s="10"/>
      <c r="O17" s="9"/>
      <c r="P17" s="9"/>
      <c r="Q17" s="8">
        <v>4.0</v>
      </c>
      <c r="R17" s="8">
        <v>1246.0</v>
      </c>
    </row>
    <row r="18" ht="19.5" customHeight="1">
      <c r="A18" s="3">
        <v>17.0</v>
      </c>
      <c r="B18" s="4" t="s">
        <v>11</v>
      </c>
      <c r="C18" s="4" t="s">
        <v>12</v>
      </c>
      <c r="D18" s="5" t="s">
        <v>78</v>
      </c>
      <c r="E18" s="5" t="s">
        <v>79</v>
      </c>
      <c r="F18" s="5" t="s">
        <v>80</v>
      </c>
      <c r="G18" s="5" t="s">
        <v>81</v>
      </c>
      <c r="H18" s="6" t="str">
        <f>IFERROR(__xludf.DUMMYFUNCTION("split(G18, "" "")"),"The")</f>
        <v>The</v>
      </c>
      <c r="I18" s="5" t="str">
        <f>IFERROR(__xludf.DUMMYFUNCTION("""COMPUTED_VALUE"""),"library")</f>
        <v>library</v>
      </c>
      <c r="J18" s="5" t="str">
        <f>IFERROR(__xludf.DUMMYFUNCTION("""COMPUTED_VALUE"""),"has")</f>
        <v>has</v>
      </c>
      <c r="K18" s="5" t="str">
        <f>IFERROR(__xludf.DUMMYFUNCTION("""COMPUTED_VALUE"""),"many")</f>
        <v>many</v>
      </c>
      <c r="L18" s="5" t="str">
        <f>IFERROR(__xludf.DUMMYFUNCTION("""COMPUTED_VALUE"""),"books.")</f>
        <v>books.</v>
      </c>
      <c r="M18" s="5"/>
      <c r="N18" s="5"/>
      <c r="O18" s="4"/>
      <c r="P18" s="4"/>
      <c r="Q18" s="3">
        <v>3.0</v>
      </c>
      <c r="R18" s="8">
        <v>125.0</v>
      </c>
    </row>
    <row r="19" ht="19.5" customHeight="1">
      <c r="A19" s="8">
        <v>18.0</v>
      </c>
      <c r="B19" s="9" t="s">
        <v>11</v>
      </c>
      <c r="C19" s="9" t="s">
        <v>12</v>
      </c>
      <c r="D19" s="10" t="s">
        <v>82</v>
      </c>
      <c r="E19" s="10" t="s">
        <v>83</v>
      </c>
      <c r="F19" s="10" t="s">
        <v>84</v>
      </c>
      <c r="G19" s="10" t="s">
        <v>85</v>
      </c>
      <c r="H19" s="6" t="str">
        <f>IFERROR(__xludf.DUMMYFUNCTION("split(G19, "" "")"),"I")</f>
        <v>I</v>
      </c>
      <c r="I19" s="10" t="str">
        <f>IFERROR(__xludf.DUMMYFUNCTION("""COMPUTED_VALUE"""),"wear")</f>
        <v>wear</v>
      </c>
      <c r="J19" s="10" t="str">
        <f>IFERROR(__xludf.DUMMYFUNCTION("""COMPUTED_VALUE"""),"a")</f>
        <v>a</v>
      </c>
      <c r="K19" s="10" t="str">
        <f>IFERROR(__xludf.DUMMYFUNCTION("""COMPUTED_VALUE"""),"uniform")</f>
        <v>uniform</v>
      </c>
      <c r="L19" s="10" t="str">
        <f>IFERROR(__xludf.DUMMYFUNCTION("""COMPUTED_VALUE"""),"to")</f>
        <v>to</v>
      </c>
      <c r="M19" s="10" t="str">
        <f>IFERROR(__xludf.DUMMYFUNCTION("""COMPUTED_VALUE"""),"school.")</f>
        <v>school.</v>
      </c>
      <c r="N19" s="10"/>
      <c r="O19" s="9"/>
      <c r="P19" s="9"/>
      <c r="Q19" s="8">
        <v>4.0</v>
      </c>
      <c r="R19" s="8">
        <v>1246.0</v>
      </c>
    </row>
    <row r="20" ht="19.5" customHeight="1">
      <c r="A20" s="3">
        <v>19.0</v>
      </c>
      <c r="B20" s="4" t="s">
        <v>11</v>
      </c>
      <c r="C20" s="4" t="s">
        <v>12</v>
      </c>
      <c r="D20" s="5" t="s">
        <v>86</v>
      </c>
      <c r="E20" s="5" t="s">
        <v>87</v>
      </c>
      <c r="F20" s="5" t="s">
        <v>88</v>
      </c>
      <c r="G20" s="5" t="s">
        <v>89</v>
      </c>
      <c r="H20" s="6" t="str">
        <f>IFERROR(__xludf.DUMMYFUNCTION("split(G20, "" "")"),"The")</f>
        <v>The</v>
      </c>
      <c r="I20" s="5" t="str">
        <f>IFERROR(__xludf.DUMMYFUNCTION("""COMPUTED_VALUE"""),"school")</f>
        <v>school</v>
      </c>
      <c r="J20" s="5" t="str">
        <f>IFERROR(__xludf.DUMMYFUNCTION("""COMPUTED_VALUE"""),"bell")</f>
        <v>bell</v>
      </c>
      <c r="K20" s="5" t="str">
        <f>IFERROR(__xludf.DUMMYFUNCTION("""COMPUTED_VALUE"""),"rings")</f>
        <v>rings</v>
      </c>
      <c r="L20" s="5" t="str">
        <f>IFERROR(__xludf.DUMMYFUNCTION("""COMPUTED_VALUE"""),"loudly.")</f>
        <v>loudly.</v>
      </c>
      <c r="M20" s="5"/>
      <c r="N20" s="5"/>
      <c r="O20" s="4"/>
      <c r="P20" s="4"/>
      <c r="Q20" s="3">
        <v>5.0</v>
      </c>
      <c r="R20" s="8">
        <v>12345.0</v>
      </c>
    </row>
    <row r="21" ht="19.5" customHeight="1">
      <c r="A21" s="8">
        <v>20.0</v>
      </c>
      <c r="B21" s="9" t="s">
        <v>11</v>
      </c>
      <c r="C21" s="9" t="s">
        <v>12</v>
      </c>
      <c r="D21" s="10" t="s">
        <v>90</v>
      </c>
      <c r="E21" s="10" t="s">
        <v>91</v>
      </c>
      <c r="F21" s="10" t="s">
        <v>92</v>
      </c>
      <c r="G21" s="10" t="s">
        <v>93</v>
      </c>
      <c r="H21" s="6" t="str">
        <f>IFERROR(__xludf.DUMMYFUNCTION("split(G21, "" "")"),"I")</f>
        <v>I</v>
      </c>
      <c r="I21" s="10" t="str">
        <f>IFERROR(__xludf.DUMMYFUNCTION("""COMPUTED_VALUE"""),"do")</f>
        <v>do</v>
      </c>
      <c r="J21" s="10" t="str">
        <f>IFERROR(__xludf.DUMMYFUNCTION("""COMPUTED_VALUE"""),"my")</f>
        <v>my</v>
      </c>
      <c r="K21" s="10" t="str">
        <f>IFERROR(__xludf.DUMMYFUNCTION("""COMPUTED_VALUE"""),"homework")</f>
        <v>homework</v>
      </c>
      <c r="L21" s="10" t="str">
        <f>IFERROR(__xludf.DUMMYFUNCTION("""COMPUTED_VALUE"""),"after")</f>
        <v>after</v>
      </c>
      <c r="M21" s="10" t="str">
        <f>IFERROR(__xludf.DUMMYFUNCTION("""COMPUTED_VALUE"""),"dinner.")</f>
        <v>dinner.</v>
      </c>
      <c r="N21" s="10"/>
      <c r="O21" s="9"/>
      <c r="P21" s="9"/>
      <c r="Q21" s="8">
        <v>4.0</v>
      </c>
      <c r="R21" s="8">
        <v>1246.0</v>
      </c>
    </row>
    <row r="22" ht="19.5" customHeight="1">
      <c r="A22" s="3">
        <v>21.0</v>
      </c>
      <c r="B22" s="4" t="s">
        <v>11</v>
      </c>
      <c r="C22" s="4" t="s">
        <v>94</v>
      </c>
      <c r="D22" s="5" t="s">
        <v>95</v>
      </c>
      <c r="E22" s="5" t="s">
        <v>96</v>
      </c>
      <c r="F22" s="5" t="s">
        <v>97</v>
      </c>
      <c r="G22" s="5" t="s">
        <v>98</v>
      </c>
      <c r="H22" s="6" t="str">
        <f>IFERROR(__xludf.DUMMYFUNCTION("split(G22, "" "")"),"The")</f>
        <v>The</v>
      </c>
      <c r="I22" s="5" t="str">
        <f>IFERROR(__xludf.DUMMYFUNCTION("""COMPUTED_VALUE"""),"student")</f>
        <v>student</v>
      </c>
      <c r="J22" s="5" t="str">
        <f>IFERROR(__xludf.DUMMYFUNCTION("""COMPUTED_VALUE"""),"is")</f>
        <v>is</v>
      </c>
      <c r="K22" s="5" t="str">
        <f>IFERROR(__xludf.DUMMYFUNCTION("""COMPUTED_VALUE"""),"reading")</f>
        <v>reading</v>
      </c>
      <c r="L22" s="5" t="str">
        <f>IFERROR(__xludf.DUMMYFUNCTION("""COMPUTED_VALUE"""),"a")</f>
        <v>a</v>
      </c>
      <c r="M22" s="5" t="str">
        <f>IFERROR(__xludf.DUMMYFUNCTION("""COMPUTED_VALUE"""),"book.")</f>
        <v>book.</v>
      </c>
      <c r="N22" s="5"/>
      <c r="O22" s="4"/>
      <c r="P22" s="4"/>
      <c r="Q22" s="3">
        <v>4.0</v>
      </c>
      <c r="R22" s="8">
        <v>1246.0</v>
      </c>
    </row>
    <row r="23" ht="19.5" customHeight="1">
      <c r="A23" s="8">
        <v>22.0</v>
      </c>
      <c r="B23" s="9" t="s">
        <v>11</v>
      </c>
      <c r="C23" s="9" t="s">
        <v>94</v>
      </c>
      <c r="D23" s="10" t="s">
        <v>99</v>
      </c>
      <c r="E23" s="10" t="s">
        <v>100</v>
      </c>
      <c r="F23" s="10" t="s">
        <v>101</v>
      </c>
      <c r="G23" s="10" t="s">
        <v>102</v>
      </c>
      <c r="H23" s="6" t="str">
        <f>IFERROR(__xludf.DUMMYFUNCTION("split(G23, "" "")"),"My")</f>
        <v>My</v>
      </c>
      <c r="I23" s="10" t="str">
        <f>IFERROR(__xludf.DUMMYFUNCTION("""COMPUTED_VALUE"""),"teacher")</f>
        <v>teacher</v>
      </c>
      <c r="J23" s="10" t="str">
        <f>IFERROR(__xludf.DUMMYFUNCTION("""COMPUTED_VALUE"""),"is")</f>
        <v>is</v>
      </c>
      <c r="K23" s="10" t="str">
        <f>IFERROR(__xludf.DUMMYFUNCTION("""COMPUTED_VALUE"""),"very")</f>
        <v>very</v>
      </c>
      <c r="L23" s="10" t="str">
        <f>IFERROR(__xludf.DUMMYFUNCTION("""COMPUTED_VALUE"""),"kind.")</f>
        <v>kind.</v>
      </c>
      <c r="M23" s="10"/>
      <c r="N23" s="10"/>
      <c r="O23" s="9"/>
      <c r="P23" s="9"/>
      <c r="Q23" s="8">
        <v>3.0</v>
      </c>
      <c r="R23" s="8">
        <v>125.0</v>
      </c>
    </row>
    <row r="24" ht="19.5" customHeight="1">
      <c r="A24" s="3">
        <v>23.0</v>
      </c>
      <c r="B24" s="4" t="s">
        <v>11</v>
      </c>
      <c r="C24" s="4" t="s">
        <v>94</v>
      </c>
      <c r="D24" s="5" t="s">
        <v>103</v>
      </c>
      <c r="E24" s="5" t="s">
        <v>104</v>
      </c>
      <c r="F24" s="5" t="s">
        <v>105</v>
      </c>
      <c r="G24" s="5" t="s">
        <v>106</v>
      </c>
      <c r="H24" s="6" t="str">
        <f>IFERROR(__xludf.DUMMYFUNCTION("split(G24, "" "")"),"My")</f>
        <v>My</v>
      </c>
      <c r="I24" s="5" t="str">
        <f>IFERROR(__xludf.DUMMYFUNCTION("""COMPUTED_VALUE"""),"classmate")</f>
        <v>classmate</v>
      </c>
      <c r="J24" s="5" t="str">
        <f>IFERROR(__xludf.DUMMYFUNCTION("""COMPUTED_VALUE"""),"helps")</f>
        <v>helps</v>
      </c>
      <c r="K24" s="5" t="str">
        <f>IFERROR(__xludf.DUMMYFUNCTION("""COMPUTED_VALUE"""),"me")</f>
        <v>me</v>
      </c>
      <c r="L24" s="5" t="str">
        <f>IFERROR(__xludf.DUMMYFUNCTION("""COMPUTED_VALUE"""),"study.")</f>
        <v>study.</v>
      </c>
      <c r="M24" s="5"/>
      <c r="N24" s="5"/>
      <c r="O24" s="4"/>
      <c r="P24" s="4"/>
      <c r="Q24" s="3">
        <v>4.0</v>
      </c>
      <c r="R24" s="8">
        <v>1235.0</v>
      </c>
    </row>
    <row r="25" ht="19.5" customHeight="1">
      <c r="A25" s="8">
        <v>24.0</v>
      </c>
      <c r="B25" s="9" t="s">
        <v>11</v>
      </c>
      <c r="C25" s="9" t="s">
        <v>94</v>
      </c>
      <c r="D25" s="10" t="s">
        <v>107</v>
      </c>
      <c r="E25" s="10" t="s">
        <v>108</v>
      </c>
      <c r="F25" s="10" t="s">
        <v>109</v>
      </c>
      <c r="G25" s="10" t="s">
        <v>110</v>
      </c>
      <c r="H25" s="6" t="str">
        <f>IFERROR(__xludf.DUMMYFUNCTION("split(G25, "" "")"),"I")</f>
        <v>I</v>
      </c>
      <c r="I25" s="10" t="str">
        <f>IFERROR(__xludf.DUMMYFUNCTION("""COMPUTED_VALUE"""),"study")</f>
        <v>study</v>
      </c>
      <c r="J25" s="10" t="str">
        <f>IFERROR(__xludf.DUMMYFUNCTION("""COMPUTED_VALUE"""),"English")</f>
        <v>English</v>
      </c>
      <c r="K25" s="10" t="str">
        <f>IFERROR(__xludf.DUMMYFUNCTION("""COMPUTED_VALUE"""),"with")</f>
        <v>with</v>
      </c>
      <c r="L25" s="10" t="str">
        <f>IFERROR(__xludf.DUMMYFUNCTION("""COMPUTED_VALUE"""),"my")</f>
        <v>my</v>
      </c>
      <c r="M25" s="10" t="str">
        <f>IFERROR(__xludf.DUMMYFUNCTION("""COMPUTED_VALUE"""),"friend.")</f>
        <v>friend.</v>
      </c>
      <c r="N25" s="10"/>
      <c r="O25" s="9"/>
      <c r="P25" s="9"/>
      <c r="Q25" s="8">
        <v>4.0</v>
      </c>
      <c r="R25" s="8">
        <v>1236.0</v>
      </c>
    </row>
    <row r="26" ht="19.5" customHeight="1">
      <c r="A26" s="3">
        <v>25.0</v>
      </c>
      <c r="B26" s="4" t="s">
        <v>11</v>
      </c>
      <c r="C26" s="4" t="s">
        <v>94</v>
      </c>
      <c r="D26" s="5" t="s">
        <v>111</v>
      </c>
      <c r="E26" s="5" t="s">
        <v>112</v>
      </c>
      <c r="F26" s="5" t="s">
        <v>113</v>
      </c>
      <c r="G26" s="5" t="s">
        <v>114</v>
      </c>
      <c r="H26" s="6" t="str">
        <f>IFERROR(__xludf.DUMMYFUNCTION("split(G26, "" "")"),"The")</f>
        <v>The</v>
      </c>
      <c r="I26" s="5" t="str">
        <f>IFERROR(__xludf.DUMMYFUNCTION("""COMPUTED_VALUE"""),"principal")</f>
        <v>principal</v>
      </c>
      <c r="J26" s="5" t="str">
        <f>IFERROR(__xludf.DUMMYFUNCTION("""COMPUTED_VALUE"""),"talks")</f>
        <v>talks</v>
      </c>
      <c r="K26" s="5" t="str">
        <f>IFERROR(__xludf.DUMMYFUNCTION("""COMPUTED_VALUE"""),"to")</f>
        <v>to</v>
      </c>
      <c r="L26" s="5" t="str">
        <f>IFERROR(__xludf.DUMMYFUNCTION("""COMPUTED_VALUE"""),"the")</f>
        <v>the</v>
      </c>
      <c r="M26" s="5" t="str">
        <f>IFERROR(__xludf.DUMMYFUNCTION("""COMPUTED_VALUE"""),"students.")</f>
        <v>students.</v>
      </c>
      <c r="N26" s="5"/>
      <c r="O26" s="4"/>
      <c r="P26" s="4"/>
      <c r="Q26" s="3">
        <v>4.0</v>
      </c>
      <c r="R26" s="8">
        <v>1236.0</v>
      </c>
    </row>
    <row r="27" ht="19.5" customHeight="1">
      <c r="A27" s="8">
        <v>26.0</v>
      </c>
      <c r="B27" s="9" t="s">
        <v>11</v>
      </c>
      <c r="C27" s="9" t="s">
        <v>94</v>
      </c>
      <c r="D27" s="10" t="s">
        <v>115</v>
      </c>
      <c r="E27" s="10" t="s">
        <v>116</v>
      </c>
      <c r="F27" s="10" t="s">
        <v>117</v>
      </c>
      <c r="G27" s="10" t="s">
        <v>118</v>
      </c>
      <c r="H27" s="6" t="str">
        <f>IFERROR(__xludf.DUMMYFUNCTION("split(G27, "" "")"),"My")</f>
        <v>My</v>
      </c>
      <c r="I27" s="10" t="str">
        <f>IFERROR(__xludf.DUMMYFUNCTION("""COMPUTED_VALUE"""),"parent")</f>
        <v>parent</v>
      </c>
      <c r="J27" s="10" t="str">
        <f>IFERROR(__xludf.DUMMYFUNCTION("""COMPUTED_VALUE"""),"comes")</f>
        <v>comes</v>
      </c>
      <c r="K27" s="10" t="str">
        <f>IFERROR(__xludf.DUMMYFUNCTION("""COMPUTED_VALUE"""),"to")</f>
        <v>to</v>
      </c>
      <c r="L27" s="10" t="str">
        <f>IFERROR(__xludf.DUMMYFUNCTION("""COMPUTED_VALUE"""),"school")</f>
        <v>school</v>
      </c>
      <c r="M27" s="10" t="str">
        <f>IFERROR(__xludf.DUMMYFUNCTION("""COMPUTED_VALUE"""),"today.")</f>
        <v>today.</v>
      </c>
      <c r="N27" s="10"/>
      <c r="O27" s="9"/>
      <c r="P27" s="9"/>
      <c r="Q27" s="8">
        <v>5.0</v>
      </c>
      <c r="R27" s="8">
        <v>12356.0</v>
      </c>
    </row>
    <row r="28" ht="19.5" customHeight="1">
      <c r="A28" s="3">
        <v>27.0</v>
      </c>
      <c r="B28" s="4" t="s">
        <v>11</v>
      </c>
      <c r="C28" s="4" t="s">
        <v>94</v>
      </c>
      <c r="D28" s="5" t="s">
        <v>119</v>
      </c>
      <c r="E28" s="5" t="s">
        <v>120</v>
      </c>
      <c r="F28" s="5" t="s">
        <v>121</v>
      </c>
      <c r="G28" s="5" t="s">
        <v>122</v>
      </c>
      <c r="H28" s="6" t="str">
        <f>IFERROR(__xludf.DUMMYFUNCTION("split(G28, "" "")"),"I")</f>
        <v>I</v>
      </c>
      <c r="I28" s="5" t="str">
        <f>IFERROR(__xludf.DUMMYFUNCTION("""COMPUTED_VALUE"""),"have")</f>
        <v>have</v>
      </c>
      <c r="J28" s="5" t="str">
        <f>IFERROR(__xludf.DUMMYFUNCTION("""COMPUTED_VALUE"""),"a")</f>
        <v>a</v>
      </c>
      <c r="K28" s="5" t="str">
        <f>IFERROR(__xludf.DUMMYFUNCTION("""COMPUTED_VALUE"""),"tutor")</f>
        <v>tutor</v>
      </c>
      <c r="L28" s="5" t="str">
        <f>IFERROR(__xludf.DUMMYFUNCTION("""COMPUTED_VALUE"""),"for")</f>
        <v>for</v>
      </c>
      <c r="M28" s="5" t="str">
        <f>IFERROR(__xludf.DUMMYFUNCTION("""COMPUTED_VALUE"""),"English.")</f>
        <v>English.</v>
      </c>
      <c r="N28" s="5"/>
      <c r="O28" s="4"/>
      <c r="P28" s="4"/>
      <c r="Q28" s="3">
        <v>3.0</v>
      </c>
      <c r="R28" s="8">
        <v>146.0</v>
      </c>
    </row>
    <row r="29" ht="19.5" customHeight="1">
      <c r="A29" s="8">
        <v>28.0</v>
      </c>
      <c r="B29" s="9" t="s">
        <v>11</v>
      </c>
      <c r="C29" s="9" t="s">
        <v>94</v>
      </c>
      <c r="D29" s="10" t="s">
        <v>123</v>
      </c>
      <c r="E29" s="10" t="s">
        <v>124</v>
      </c>
      <c r="F29" s="10" t="s">
        <v>125</v>
      </c>
      <c r="G29" s="10" t="s">
        <v>126</v>
      </c>
      <c r="H29" s="6" t="str">
        <f>IFERROR(__xludf.DUMMYFUNCTION("split(G29, "" "")"),"The")</f>
        <v>The</v>
      </c>
      <c r="I29" s="10" t="str">
        <f>IFERROR(__xludf.DUMMYFUNCTION("""COMPUTED_VALUE"""),"librarian")</f>
        <v>librarian</v>
      </c>
      <c r="J29" s="10" t="str">
        <f>IFERROR(__xludf.DUMMYFUNCTION("""COMPUTED_VALUE"""),"gives")</f>
        <v>gives</v>
      </c>
      <c r="K29" s="10" t="str">
        <f>IFERROR(__xludf.DUMMYFUNCTION("""COMPUTED_VALUE"""),"me")</f>
        <v>me</v>
      </c>
      <c r="L29" s="10" t="str">
        <f>IFERROR(__xludf.DUMMYFUNCTION("""COMPUTED_VALUE"""),"a")</f>
        <v>a</v>
      </c>
      <c r="M29" s="10" t="str">
        <f>IFERROR(__xludf.DUMMYFUNCTION("""COMPUTED_VALUE"""),"book.")</f>
        <v>book.</v>
      </c>
      <c r="N29" s="10"/>
      <c r="O29" s="9"/>
      <c r="P29" s="9"/>
      <c r="Q29" s="8">
        <v>4.0</v>
      </c>
      <c r="R29" s="8">
        <v>1236.0</v>
      </c>
    </row>
    <row r="30" ht="19.5" customHeight="1">
      <c r="A30" s="3">
        <v>29.0</v>
      </c>
      <c r="B30" s="4" t="s">
        <v>11</v>
      </c>
      <c r="C30" s="4" t="s">
        <v>94</v>
      </c>
      <c r="D30" s="5" t="s">
        <v>127</v>
      </c>
      <c r="E30" s="5" t="s">
        <v>128</v>
      </c>
      <c r="F30" s="5" t="s">
        <v>129</v>
      </c>
      <c r="G30" s="5" t="s">
        <v>130</v>
      </c>
      <c r="H30" s="6" t="str">
        <f>IFERROR(__xludf.DUMMYFUNCTION("split(G30, "" "")"),"The")</f>
        <v>The</v>
      </c>
      <c r="I30" s="5" t="str">
        <f>IFERROR(__xludf.DUMMYFUNCTION("""COMPUTED_VALUE"""),"child")</f>
        <v>child</v>
      </c>
      <c r="J30" s="5" t="str">
        <f>IFERROR(__xludf.DUMMYFUNCTION("""COMPUTED_VALUE"""),"learns")</f>
        <v>learns</v>
      </c>
      <c r="K30" s="5" t="str">
        <f>IFERROR(__xludf.DUMMYFUNCTION("""COMPUTED_VALUE"""),"new")</f>
        <v>new</v>
      </c>
      <c r="L30" s="5" t="str">
        <f>IFERROR(__xludf.DUMMYFUNCTION("""COMPUTED_VALUE"""),"words.")</f>
        <v>words.</v>
      </c>
      <c r="M30" s="5"/>
      <c r="N30" s="5"/>
      <c r="O30" s="4"/>
      <c r="P30" s="4"/>
      <c r="Q30" s="3">
        <v>5.0</v>
      </c>
      <c r="R30" s="8">
        <v>12345.0</v>
      </c>
    </row>
    <row r="31" ht="19.5" customHeight="1">
      <c r="A31" s="8">
        <v>30.0</v>
      </c>
      <c r="B31" s="9" t="s">
        <v>11</v>
      </c>
      <c r="C31" s="9" t="s">
        <v>94</v>
      </c>
      <c r="D31" s="10" t="s">
        <v>131</v>
      </c>
      <c r="E31" s="10" t="s">
        <v>132</v>
      </c>
      <c r="F31" s="10" t="s">
        <v>133</v>
      </c>
      <c r="G31" s="10" t="s">
        <v>134</v>
      </c>
      <c r="H31" s="6" t="str">
        <f>IFERROR(__xludf.DUMMYFUNCTION("split(G31, "" "")"),"We")</f>
        <v>We</v>
      </c>
      <c r="I31" s="10" t="str">
        <f>IFERROR(__xludf.DUMMYFUNCTION("""COMPUTED_VALUE"""),"work")</f>
        <v>work</v>
      </c>
      <c r="J31" s="10" t="str">
        <f>IFERROR(__xludf.DUMMYFUNCTION("""COMPUTED_VALUE"""),"in")</f>
        <v>in</v>
      </c>
      <c r="K31" s="10" t="str">
        <f>IFERROR(__xludf.DUMMYFUNCTION("""COMPUTED_VALUE"""),"a")</f>
        <v>a</v>
      </c>
      <c r="L31" s="10" t="str">
        <f>IFERROR(__xludf.DUMMYFUNCTION("""COMPUTED_VALUE"""),"small")</f>
        <v>small</v>
      </c>
      <c r="M31" s="10" t="str">
        <f>IFERROR(__xludf.DUMMYFUNCTION("""COMPUTED_VALUE"""),"group.")</f>
        <v>group.</v>
      </c>
      <c r="N31" s="10"/>
      <c r="O31" s="9"/>
      <c r="P31" s="9"/>
      <c r="Q31" s="8">
        <v>4.0</v>
      </c>
      <c r="R31" s="8">
        <v>1256.0</v>
      </c>
    </row>
    <row r="32" ht="19.5" customHeight="1">
      <c r="A32" s="3">
        <v>31.0</v>
      </c>
      <c r="B32" s="4" t="s">
        <v>11</v>
      </c>
      <c r="C32" s="4" t="s">
        <v>135</v>
      </c>
      <c r="D32" s="5" t="s">
        <v>136</v>
      </c>
      <c r="E32" s="5" t="s">
        <v>137</v>
      </c>
      <c r="F32" s="5" t="s">
        <v>138</v>
      </c>
      <c r="G32" s="5" t="s">
        <v>139</v>
      </c>
      <c r="H32" s="6" t="str">
        <f>IFERROR(__xludf.DUMMYFUNCTION("split(G32, "" "")"),"English")</f>
        <v>English</v>
      </c>
      <c r="I32" s="5" t="str">
        <f>IFERROR(__xludf.DUMMYFUNCTION("""COMPUTED_VALUE"""),"is")</f>
        <v>is</v>
      </c>
      <c r="J32" s="5" t="str">
        <f>IFERROR(__xludf.DUMMYFUNCTION("""COMPUTED_VALUE"""),"my")</f>
        <v>my</v>
      </c>
      <c r="K32" s="5" t="str">
        <f>IFERROR(__xludf.DUMMYFUNCTION("""COMPUTED_VALUE"""),"favorite")</f>
        <v>favorite</v>
      </c>
      <c r="L32" s="5" t="str">
        <f>IFERROR(__xludf.DUMMYFUNCTION("""COMPUTED_VALUE"""),"subject.")</f>
        <v>subject.</v>
      </c>
      <c r="M32" s="5"/>
      <c r="N32" s="5"/>
      <c r="O32" s="4"/>
      <c r="P32" s="4"/>
      <c r="Q32" s="3">
        <v>3.0</v>
      </c>
      <c r="R32" s="8">
        <v>145.0</v>
      </c>
    </row>
    <row r="33" ht="19.5" customHeight="1">
      <c r="A33" s="8">
        <v>32.0</v>
      </c>
      <c r="B33" s="9" t="s">
        <v>11</v>
      </c>
      <c r="C33" s="9" t="s">
        <v>135</v>
      </c>
      <c r="D33" s="10" t="s">
        <v>140</v>
      </c>
      <c r="E33" s="10" t="s">
        <v>141</v>
      </c>
      <c r="F33" s="10" t="s">
        <v>142</v>
      </c>
      <c r="G33" s="10" t="s">
        <v>143</v>
      </c>
      <c r="H33" s="6" t="str">
        <f>IFERROR(__xludf.DUMMYFUNCTION("split(G33, "" "")"),"Math")</f>
        <v>Math</v>
      </c>
      <c r="I33" s="10" t="str">
        <f>IFERROR(__xludf.DUMMYFUNCTION("""COMPUTED_VALUE"""),"is")</f>
        <v>is</v>
      </c>
      <c r="J33" s="10" t="str">
        <f>IFERROR(__xludf.DUMMYFUNCTION("""COMPUTED_VALUE"""),"difficult")</f>
        <v>difficult</v>
      </c>
      <c r="K33" s="10" t="str">
        <f>IFERROR(__xludf.DUMMYFUNCTION("""COMPUTED_VALUE"""),"for")</f>
        <v>for</v>
      </c>
      <c r="L33" s="10" t="str">
        <f>IFERROR(__xludf.DUMMYFUNCTION("""COMPUTED_VALUE"""),"me.")</f>
        <v>me.</v>
      </c>
      <c r="M33" s="10"/>
      <c r="N33" s="10"/>
      <c r="O33" s="9"/>
      <c r="P33" s="9"/>
      <c r="Q33" s="8">
        <v>2.0</v>
      </c>
      <c r="R33" s="8">
        <v>13.0</v>
      </c>
    </row>
    <row r="34" ht="19.5" customHeight="1">
      <c r="A34" s="3">
        <v>33.0</v>
      </c>
      <c r="B34" s="9" t="s">
        <v>11</v>
      </c>
      <c r="C34" s="9" t="s">
        <v>135</v>
      </c>
      <c r="D34" s="10" t="s">
        <v>144</v>
      </c>
      <c r="E34" s="10" t="s">
        <v>145</v>
      </c>
      <c r="F34" s="10" t="s">
        <v>146</v>
      </c>
      <c r="G34" s="10" t="s">
        <v>147</v>
      </c>
      <c r="H34" s="6" t="str">
        <f>IFERROR(__xludf.DUMMYFUNCTION("split(G34, "" "")"),"History")</f>
        <v>History</v>
      </c>
      <c r="I34" s="10" t="str">
        <f>IFERROR(__xludf.DUMMYFUNCTION("""COMPUTED_VALUE"""),"teaches")</f>
        <v>teaches</v>
      </c>
      <c r="J34" s="10" t="str">
        <f>IFERROR(__xludf.DUMMYFUNCTION("""COMPUTED_VALUE"""),"us")</f>
        <v>us</v>
      </c>
      <c r="K34" s="10" t="str">
        <f>IFERROR(__xludf.DUMMYFUNCTION("""COMPUTED_VALUE"""),"about")</f>
        <v>about</v>
      </c>
      <c r="L34" s="10" t="str">
        <f>IFERROR(__xludf.DUMMYFUNCTION("""COMPUTED_VALUE"""),"the")</f>
        <v>the</v>
      </c>
      <c r="M34" s="10" t="str">
        <f>IFERROR(__xludf.DUMMYFUNCTION("""COMPUTED_VALUE"""),"past.")</f>
        <v>past.</v>
      </c>
      <c r="N34" s="10"/>
      <c r="O34" s="9"/>
      <c r="P34" s="9"/>
      <c r="Q34" s="8">
        <v>3.0</v>
      </c>
      <c r="R34" s="8">
        <v>126.0</v>
      </c>
    </row>
    <row r="35" ht="19.5" customHeight="1">
      <c r="A35" s="8">
        <v>34.0</v>
      </c>
      <c r="B35" s="4" t="s">
        <v>11</v>
      </c>
      <c r="C35" s="4" t="s">
        <v>135</v>
      </c>
      <c r="D35" s="5" t="s">
        <v>148</v>
      </c>
      <c r="E35" s="5" t="s">
        <v>149</v>
      </c>
      <c r="F35" s="5" t="s">
        <v>150</v>
      </c>
      <c r="G35" s="5" t="s">
        <v>151</v>
      </c>
      <c r="H35" s="6" t="str">
        <f>IFERROR(__xludf.DUMMYFUNCTION("split(G35, "" "")"),"Geography")</f>
        <v>Geography</v>
      </c>
      <c r="I35" s="5" t="str">
        <f>IFERROR(__xludf.DUMMYFUNCTION("""COMPUTED_VALUE"""),"helps")</f>
        <v>helps</v>
      </c>
      <c r="J35" s="5" t="str">
        <f>IFERROR(__xludf.DUMMYFUNCTION("""COMPUTED_VALUE"""),"me")</f>
        <v>me</v>
      </c>
      <c r="K35" s="5" t="str">
        <f>IFERROR(__xludf.DUMMYFUNCTION("""COMPUTED_VALUE"""),"know")</f>
        <v>know</v>
      </c>
      <c r="L35" s="5" t="str">
        <f>IFERROR(__xludf.DUMMYFUNCTION("""COMPUTED_VALUE"""),"places.")</f>
        <v>places.</v>
      </c>
      <c r="M35" s="5"/>
      <c r="N35" s="5"/>
      <c r="O35" s="4"/>
      <c r="P35" s="4"/>
      <c r="Q35" s="3">
        <v>4.0</v>
      </c>
      <c r="R35" s="8">
        <v>1245.0</v>
      </c>
    </row>
    <row r="36" ht="19.5" customHeight="1">
      <c r="A36" s="3">
        <v>35.0</v>
      </c>
      <c r="B36" s="9" t="s">
        <v>11</v>
      </c>
      <c r="C36" s="9" t="s">
        <v>135</v>
      </c>
      <c r="D36" s="10" t="s">
        <v>152</v>
      </c>
      <c r="E36" s="10" t="s">
        <v>153</v>
      </c>
      <c r="F36" s="10" t="s">
        <v>154</v>
      </c>
      <c r="G36" s="10" t="s">
        <v>155</v>
      </c>
      <c r="H36" s="6" t="str">
        <f>IFERROR(__xludf.DUMMYFUNCTION("split(G36, "" "")"),"I")</f>
        <v>I</v>
      </c>
      <c r="I36" s="10" t="str">
        <f>IFERROR(__xludf.DUMMYFUNCTION("""COMPUTED_VALUE"""),"draw")</f>
        <v>draw</v>
      </c>
      <c r="J36" s="10" t="str">
        <f>IFERROR(__xludf.DUMMYFUNCTION("""COMPUTED_VALUE"""),"pictures")</f>
        <v>pictures</v>
      </c>
      <c r="K36" s="10" t="str">
        <f>IFERROR(__xludf.DUMMYFUNCTION("""COMPUTED_VALUE"""),"in")</f>
        <v>in</v>
      </c>
      <c r="L36" s="10" t="str">
        <f>IFERROR(__xludf.DUMMYFUNCTION("""COMPUTED_VALUE"""),"art")</f>
        <v>art</v>
      </c>
      <c r="M36" s="10" t="str">
        <f>IFERROR(__xludf.DUMMYFUNCTION("""COMPUTED_VALUE"""),"class.")</f>
        <v>class.</v>
      </c>
      <c r="N36" s="10"/>
      <c r="O36" s="9"/>
      <c r="P36" s="9"/>
      <c r="Q36" s="8">
        <v>5.0</v>
      </c>
      <c r="R36" s="8">
        <v>12356.0</v>
      </c>
    </row>
    <row r="37" ht="19.5" customHeight="1">
      <c r="A37" s="8">
        <v>36.0</v>
      </c>
      <c r="B37" s="4" t="s">
        <v>11</v>
      </c>
      <c r="C37" s="4" t="s">
        <v>135</v>
      </c>
      <c r="D37" s="5" t="s">
        <v>156</v>
      </c>
      <c r="E37" s="5" t="s">
        <v>157</v>
      </c>
      <c r="F37" s="5" t="s">
        <v>158</v>
      </c>
      <c r="G37" s="5" t="s">
        <v>159</v>
      </c>
      <c r="H37" s="6" t="str">
        <f>IFERROR(__xludf.DUMMYFUNCTION("split(G37, "" "")"),"Music")</f>
        <v>Music</v>
      </c>
      <c r="I37" s="5" t="str">
        <f>IFERROR(__xludf.DUMMYFUNCTION("""COMPUTED_VALUE"""),"class")</f>
        <v>class</v>
      </c>
      <c r="J37" s="5" t="str">
        <f>IFERROR(__xludf.DUMMYFUNCTION("""COMPUTED_VALUE"""),"is")</f>
        <v>is</v>
      </c>
      <c r="K37" s="5" t="str">
        <f>IFERROR(__xludf.DUMMYFUNCTION("""COMPUTED_VALUE"""),"fun.")</f>
        <v>fun.</v>
      </c>
      <c r="L37" s="5"/>
      <c r="M37" s="5"/>
      <c r="N37" s="5"/>
      <c r="O37" s="4"/>
      <c r="P37" s="4"/>
      <c r="Q37" s="3">
        <v>3.0</v>
      </c>
      <c r="R37" s="8">
        <v>124.0</v>
      </c>
    </row>
    <row r="38" ht="19.5" customHeight="1">
      <c r="A38" s="3">
        <v>37.0</v>
      </c>
      <c r="B38" s="9" t="s">
        <v>11</v>
      </c>
      <c r="C38" s="9" t="s">
        <v>135</v>
      </c>
      <c r="D38" s="10" t="s">
        <v>160</v>
      </c>
      <c r="E38" s="10" t="s">
        <v>161</v>
      </c>
      <c r="F38" s="10" t="s">
        <v>162</v>
      </c>
      <c r="G38" s="10" t="s">
        <v>163</v>
      </c>
      <c r="H38" s="6" t="str">
        <f>IFERROR(__xludf.DUMMYFUNCTION("split(G38, "" "")"),"We")</f>
        <v>We</v>
      </c>
      <c r="I38" s="10" t="str">
        <f>IFERROR(__xludf.DUMMYFUNCTION("""COMPUTED_VALUE"""),"run")</f>
        <v>run</v>
      </c>
      <c r="J38" s="10" t="str">
        <f>IFERROR(__xludf.DUMMYFUNCTION("""COMPUTED_VALUE"""),"in")</f>
        <v>in</v>
      </c>
      <c r="K38" s="10" t="str">
        <f>IFERROR(__xludf.DUMMYFUNCTION("""COMPUTED_VALUE"""),"PE")</f>
        <v>PE</v>
      </c>
      <c r="L38" s="10" t="str">
        <f>IFERROR(__xludf.DUMMYFUNCTION("""COMPUTED_VALUE"""),"class.")</f>
        <v>class.</v>
      </c>
      <c r="M38" s="10"/>
      <c r="N38" s="10"/>
      <c r="O38" s="9"/>
      <c r="P38" s="9"/>
      <c r="Q38" s="8">
        <v>4.0</v>
      </c>
      <c r="R38" s="8">
        <v>1245.0</v>
      </c>
    </row>
    <row r="39" ht="19.5" customHeight="1">
      <c r="A39" s="8">
        <v>38.0</v>
      </c>
      <c r="B39" s="9" t="s">
        <v>11</v>
      </c>
      <c r="C39" s="9" t="s">
        <v>135</v>
      </c>
      <c r="D39" s="10" t="s">
        <v>164</v>
      </c>
      <c r="E39" s="10" t="s">
        <v>165</v>
      </c>
      <c r="F39" s="10" t="s">
        <v>166</v>
      </c>
      <c r="G39" s="10" t="s">
        <v>167</v>
      </c>
      <c r="H39" s="6" t="str">
        <f>IFERROR(__xludf.DUMMYFUNCTION("split(G39, "" "")"),"Biology")</f>
        <v>Biology</v>
      </c>
      <c r="I39" s="10" t="str">
        <f>IFERROR(__xludf.DUMMYFUNCTION("""COMPUTED_VALUE"""),"is")</f>
        <v>is</v>
      </c>
      <c r="J39" s="10" t="str">
        <f>IFERROR(__xludf.DUMMYFUNCTION("""COMPUTED_VALUE"""),"about")</f>
        <v>about</v>
      </c>
      <c r="K39" s="10" t="str">
        <f>IFERROR(__xludf.DUMMYFUNCTION("""COMPUTED_VALUE"""),"living")</f>
        <v>living</v>
      </c>
      <c r="L39" s="10" t="str">
        <f>IFERROR(__xludf.DUMMYFUNCTION("""COMPUTED_VALUE"""),"things.")</f>
        <v>things.</v>
      </c>
      <c r="M39" s="10"/>
      <c r="N39" s="10"/>
      <c r="O39" s="9"/>
      <c r="P39" s="9"/>
      <c r="Q39" s="8">
        <v>3.0</v>
      </c>
      <c r="R39" s="8">
        <v>145.0</v>
      </c>
    </row>
    <row r="40" ht="19.5" customHeight="1">
      <c r="A40" s="3">
        <v>39.0</v>
      </c>
      <c r="B40" s="4" t="s">
        <v>11</v>
      </c>
      <c r="C40" s="4" t="s">
        <v>135</v>
      </c>
      <c r="D40" s="5" t="s">
        <v>168</v>
      </c>
      <c r="E40" s="5" t="s">
        <v>169</v>
      </c>
      <c r="F40" s="5" t="s">
        <v>170</v>
      </c>
      <c r="G40" s="5" t="s">
        <v>171</v>
      </c>
      <c r="H40" s="6" t="str">
        <f>IFERROR(__xludf.DUMMYFUNCTION("split(G40, "" "")"),"Chemistry")</f>
        <v>Chemistry</v>
      </c>
      <c r="I40" s="5" t="str">
        <f>IFERROR(__xludf.DUMMYFUNCTION("""COMPUTED_VALUE"""),"can")</f>
        <v>can</v>
      </c>
      <c r="J40" s="5" t="str">
        <f>IFERROR(__xludf.DUMMYFUNCTION("""COMPUTED_VALUE"""),"be")</f>
        <v>be</v>
      </c>
      <c r="K40" s="5" t="str">
        <f>IFERROR(__xludf.DUMMYFUNCTION("""COMPUTED_VALUE"""),"hard.")</f>
        <v>hard.</v>
      </c>
      <c r="L40" s="5"/>
      <c r="M40" s="5"/>
      <c r="N40" s="5"/>
      <c r="O40" s="4"/>
      <c r="P40" s="4"/>
      <c r="Q40" s="3">
        <v>2.0</v>
      </c>
      <c r="R40" s="8">
        <v>14.0</v>
      </c>
    </row>
    <row r="41" ht="19.5" customHeight="1">
      <c r="A41" s="8">
        <v>40.0</v>
      </c>
      <c r="B41" s="9" t="s">
        <v>11</v>
      </c>
      <c r="C41" s="9" t="s">
        <v>135</v>
      </c>
      <c r="D41" s="10" t="s">
        <v>172</v>
      </c>
      <c r="E41" s="10" t="s">
        <v>173</v>
      </c>
      <c r="F41" s="10" t="s">
        <v>174</v>
      </c>
      <c r="G41" s="10" t="s">
        <v>175</v>
      </c>
      <c r="H41" s="6" t="str">
        <f>IFERROR(__xludf.DUMMYFUNCTION("split(G41, "" "")"),"Physics")</f>
        <v>Physics</v>
      </c>
      <c r="I41" s="10" t="str">
        <f>IFERROR(__xludf.DUMMYFUNCTION("""COMPUTED_VALUE"""),"is")</f>
        <v>is</v>
      </c>
      <c r="J41" s="10" t="str">
        <f>IFERROR(__xludf.DUMMYFUNCTION("""COMPUTED_VALUE"""),"about")</f>
        <v>about</v>
      </c>
      <c r="K41" s="10" t="str">
        <f>IFERROR(__xludf.DUMMYFUNCTION("""COMPUTED_VALUE"""),"light")</f>
        <v>light</v>
      </c>
      <c r="L41" s="10" t="str">
        <f>IFERROR(__xludf.DUMMYFUNCTION("""COMPUTED_VALUE"""),"and")</f>
        <v>and</v>
      </c>
      <c r="M41" s="10" t="str">
        <f>IFERROR(__xludf.DUMMYFUNCTION("""COMPUTED_VALUE"""),"sound.")</f>
        <v>sound.</v>
      </c>
      <c r="N41" s="10"/>
      <c r="O41" s="9"/>
      <c r="P41" s="9"/>
      <c r="Q41" s="8">
        <v>3.0</v>
      </c>
      <c r="R41" s="8">
        <v>146.0</v>
      </c>
    </row>
    <row r="42" ht="19.5" customHeight="1">
      <c r="A42" s="3">
        <v>41.0</v>
      </c>
      <c r="B42" s="9" t="s">
        <v>11</v>
      </c>
      <c r="C42" s="9" t="s">
        <v>135</v>
      </c>
      <c r="D42" s="10" t="s">
        <v>176</v>
      </c>
      <c r="E42" s="10" t="s">
        <v>177</v>
      </c>
      <c r="F42" s="10" t="s">
        <v>178</v>
      </c>
      <c r="G42" s="10" t="s">
        <v>179</v>
      </c>
      <c r="H42" s="6" t="str">
        <f>IFERROR(__xludf.DUMMYFUNCTION("split(G42, "" "")"),"A")</f>
        <v>A</v>
      </c>
      <c r="I42" s="10" t="str">
        <f>IFERROR(__xludf.DUMMYFUNCTION("""COMPUTED_VALUE"""),"new")</f>
        <v>new</v>
      </c>
      <c r="J42" s="10" t="str">
        <f>IFERROR(__xludf.DUMMYFUNCTION("""COMPUTED_VALUE"""),"language")</f>
        <v>language</v>
      </c>
      <c r="K42" s="10" t="str">
        <f>IFERROR(__xludf.DUMMYFUNCTION("""COMPUTED_VALUE"""),"takes")</f>
        <v>takes</v>
      </c>
      <c r="L42" s="10" t="str">
        <f>IFERROR(__xludf.DUMMYFUNCTION("""COMPUTED_VALUE"""),"time.")</f>
        <v>time.</v>
      </c>
      <c r="M42" s="10"/>
      <c r="N42" s="10"/>
      <c r="O42" s="9"/>
      <c r="P42" s="9"/>
      <c r="Q42" s="8">
        <v>5.0</v>
      </c>
      <c r="R42" s="8">
        <v>12345.0</v>
      </c>
    </row>
    <row r="43" ht="19.5" customHeight="1">
      <c r="A43" s="8">
        <v>42.0</v>
      </c>
      <c r="B43" s="4" t="s">
        <v>11</v>
      </c>
      <c r="C43" s="4" t="s">
        <v>135</v>
      </c>
      <c r="D43" s="5" t="s">
        <v>180</v>
      </c>
      <c r="E43" s="5" t="s">
        <v>181</v>
      </c>
      <c r="F43" s="5" t="s">
        <v>135</v>
      </c>
      <c r="G43" s="5" t="s">
        <v>182</v>
      </c>
      <c r="H43" s="6" t="str">
        <f>IFERROR(__xludf.DUMMYFUNCTION("split(G43, "" "")"),"My")</f>
        <v>My</v>
      </c>
      <c r="I43" s="5" t="str">
        <f>IFERROR(__xludf.DUMMYFUNCTION("""COMPUTED_VALUE"""),"best")</f>
        <v>best</v>
      </c>
      <c r="J43" s="5" t="str">
        <f>IFERROR(__xludf.DUMMYFUNCTION("""COMPUTED_VALUE"""),"subject")</f>
        <v>subject</v>
      </c>
      <c r="K43" s="5" t="str">
        <f>IFERROR(__xludf.DUMMYFUNCTION("""COMPUTED_VALUE"""),"is")</f>
        <v>is</v>
      </c>
      <c r="L43" s="5" t="str">
        <f>IFERROR(__xludf.DUMMYFUNCTION("""COMPUTED_VALUE"""),"English.")</f>
        <v>English.</v>
      </c>
      <c r="M43" s="5"/>
      <c r="N43" s="5"/>
      <c r="O43" s="4"/>
      <c r="P43" s="4"/>
      <c r="Q43" s="3">
        <v>4.0</v>
      </c>
      <c r="R43" s="8">
        <v>1235.0</v>
      </c>
    </row>
    <row r="44" ht="19.5" customHeight="1">
      <c r="A44" s="3">
        <v>43.0</v>
      </c>
      <c r="B44" s="9" t="s">
        <v>11</v>
      </c>
      <c r="C44" s="9" t="s">
        <v>183</v>
      </c>
      <c r="D44" s="10" t="s">
        <v>184</v>
      </c>
      <c r="E44" s="10" t="s">
        <v>185</v>
      </c>
      <c r="F44" s="10" t="s">
        <v>186</v>
      </c>
      <c r="G44" s="10" t="s">
        <v>187</v>
      </c>
      <c r="H44" s="6" t="str">
        <f>IFERROR(__xludf.DUMMYFUNCTION("split(G44, "" "")"),"The")</f>
        <v>The</v>
      </c>
      <c r="I44" s="10" t="str">
        <f>IFERROR(__xludf.DUMMYFUNCTION("""COMPUTED_VALUE"""),"lesson")</f>
        <v>lesson</v>
      </c>
      <c r="J44" s="10" t="str">
        <f>IFERROR(__xludf.DUMMYFUNCTION("""COMPUTED_VALUE"""),"is")</f>
        <v>is</v>
      </c>
      <c r="K44" s="10" t="str">
        <f>IFERROR(__xludf.DUMMYFUNCTION("""COMPUTED_VALUE"""),"short")</f>
        <v>short</v>
      </c>
      <c r="L44" s="10" t="str">
        <f>IFERROR(__xludf.DUMMYFUNCTION("""COMPUTED_VALUE"""),"and")</f>
        <v>and</v>
      </c>
      <c r="M44" s="10" t="str">
        <f>IFERROR(__xludf.DUMMYFUNCTION("""COMPUTED_VALUE"""),"easy.")</f>
        <v>easy.</v>
      </c>
      <c r="N44" s="10"/>
      <c r="O44" s="9"/>
      <c r="P44" s="9"/>
      <c r="Q44" s="8">
        <v>4.0</v>
      </c>
      <c r="R44" s="8">
        <v>1246.0</v>
      </c>
    </row>
    <row r="45" ht="19.5" customHeight="1">
      <c r="A45" s="8">
        <v>44.0</v>
      </c>
      <c r="B45" s="4" t="s">
        <v>11</v>
      </c>
      <c r="C45" s="4" t="s">
        <v>183</v>
      </c>
      <c r="D45" s="5" t="s">
        <v>188</v>
      </c>
      <c r="E45" s="5" t="s">
        <v>189</v>
      </c>
      <c r="F45" s="5" t="s">
        <v>190</v>
      </c>
      <c r="G45" s="5" t="s">
        <v>191</v>
      </c>
      <c r="H45" s="6" t="str">
        <f>IFERROR(__xludf.DUMMYFUNCTION("split(G45, "" "")"),"I")</f>
        <v>I</v>
      </c>
      <c r="I45" s="5" t="str">
        <f>IFERROR(__xludf.DUMMYFUNCTION("""COMPUTED_VALUE"""),"ask")</f>
        <v>ask</v>
      </c>
      <c r="J45" s="5" t="str">
        <f>IFERROR(__xludf.DUMMYFUNCTION("""COMPUTED_VALUE"""),"a")</f>
        <v>a</v>
      </c>
      <c r="K45" s="5" t="str">
        <f>IFERROR(__xludf.DUMMYFUNCTION("""COMPUTED_VALUE"""),"question")</f>
        <v>question</v>
      </c>
      <c r="L45" s="5" t="str">
        <f>IFERROR(__xludf.DUMMYFUNCTION("""COMPUTED_VALUE"""),"in")</f>
        <v>in</v>
      </c>
      <c r="M45" s="5" t="str">
        <f>IFERROR(__xludf.DUMMYFUNCTION("""COMPUTED_VALUE"""),"class.")</f>
        <v>class.</v>
      </c>
      <c r="N45" s="5"/>
      <c r="O45" s="4"/>
      <c r="P45" s="4"/>
      <c r="Q45" s="3">
        <v>4.0</v>
      </c>
      <c r="R45" s="8">
        <v>1246.0</v>
      </c>
    </row>
    <row r="46" ht="19.5" customHeight="1">
      <c r="A46" s="3">
        <v>45.0</v>
      </c>
      <c r="B46" s="9" t="s">
        <v>11</v>
      </c>
      <c r="C46" s="9" t="s">
        <v>183</v>
      </c>
      <c r="D46" s="10" t="s">
        <v>192</v>
      </c>
      <c r="E46" s="10" t="s">
        <v>193</v>
      </c>
      <c r="F46" s="10" t="s">
        <v>194</v>
      </c>
      <c r="G46" s="10" t="s">
        <v>195</v>
      </c>
      <c r="H46" s="6" t="str">
        <f>IFERROR(__xludf.DUMMYFUNCTION("split(G46, "" "")"),"Her")</f>
        <v>Her</v>
      </c>
      <c r="I46" s="10" t="str">
        <f>IFERROR(__xludf.DUMMYFUNCTION("""COMPUTED_VALUE"""),"answer")</f>
        <v>answer</v>
      </c>
      <c r="J46" s="10" t="str">
        <f>IFERROR(__xludf.DUMMYFUNCTION("""COMPUTED_VALUE"""),"is")</f>
        <v>is</v>
      </c>
      <c r="K46" s="10" t="str">
        <f>IFERROR(__xludf.DUMMYFUNCTION("""COMPUTED_VALUE"""),"correct.")</f>
        <v>correct.</v>
      </c>
      <c r="L46" s="10"/>
      <c r="M46" s="10"/>
      <c r="N46" s="10"/>
      <c r="O46" s="9"/>
      <c r="P46" s="9"/>
      <c r="Q46" s="8">
        <v>3.0</v>
      </c>
      <c r="R46" s="8">
        <v>124.0</v>
      </c>
    </row>
    <row r="47" ht="19.5" customHeight="1">
      <c r="A47" s="8">
        <v>46.0</v>
      </c>
      <c r="B47" s="4" t="s">
        <v>11</v>
      </c>
      <c r="C47" s="4" t="s">
        <v>183</v>
      </c>
      <c r="D47" s="5" t="s">
        <v>196</v>
      </c>
      <c r="E47" s="5" t="s">
        <v>197</v>
      </c>
      <c r="F47" s="5" t="s">
        <v>198</v>
      </c>
      <c r="G47" s="5" t="s">
        <v>199</v>
      </c>
      <c r="H47" s="6" t="str">
        <f>IFERROR(__xludf.DUMMYFUNCTION("split(G47, "" "")"),"This")</f>
        <v>This</v>
      </c>
      <c r="I47" s="5" t="str">
        <f>IFERROR(__xludf.DUMMYFUNCTION("""COMPUTED_VALUE"""),"exercise")</f>
        <v>exercise</v>
      </c>
      <c r="J47" s="5" t="str">
        <f>IFERROR(__xludf.DUMMYFUNCTION("""COMPUTED_VALUE"""),"is")</f>
        <v>is</v>
      </c>
      <c r="K47" s="5" t="str">
        <f>IFERROR(__xludf.DUMMYFUNCTION("""COMPUTED_VALUE"""),"easy.")</f>
        <v>easy.</v>
      </c>
      <c r="L47" s="5"/>
      <c r="M47" s="5"/>
      <c r="N47" s="5"/>
      <c r="O47" s="4"/>
      <c r="P47" s="4"/>
      <c r="Q47" s="3">
        <v>3.0</v>
      </c>
      <c r="R47" s="8">
        <v>124.0</v>
      </c>
    </row>
    <row r="48" ht="19.5" customHeight="1">
      <c r="A48" s="3">
        <v>47.0</v>
      </c>
      <c r="B48" s="9" t="s">
        <v>11</v>
      </c>
      <c r="C48" s="9" t="s">
        <v>183</v>
      </c>
      <c r="D48" s="10" t="s">
        <v>200</v>
      </c>
      <c r="E48" s="10" t="s">
        <v>201</v>
      </c>
      <c r="F48" s="10" t="s">
        <v>202</v>
      </c>
      <c r="G48" s="10" t="s">
        <v>203</v>
      </c>
      <c r="H48" s="6" t="str">
        <f>IFERROR(__xludf.DUMMYFUNCTION("split(G48, "" "")"),"We")</f>
        <v>We</v>
      </c>
      <c r="I48" s="10" t="str">
        <f>IFERROR(__xludf.DUMMYFUNCTION("""COMPUTED_VALUE"""),"have")</f>
        <v>have</v>
      </c>
      <c r="J48" s="10" t="str">
        <f>IFERROR(__xludf.DUMMYFUNCTION("""COMPUTED_VALUE"""),"a")</f>
        <v>a</v>
      </c>
      <c r="K48" s="10" t="str">
        <f>IFERROR(__xludf.DUMMYFUNCTION("""COMPUTED_VALUE"""),"test")</f>
        <v>test</v>
      </c>
      <c r="L48" s="10" t="str">
        <f>IFERROR(__xludf.DUMMYFUNCTION("""COMPUTED_VALUE"""),"on")</f>
        <v>on</v>
      </c>
      <c r="M48" s="10" t="str">
        <f>IFERROR(__xludf.DUMMYFUNCTION("""COMPUTED_VALUE"""),"Friday.")</f>
        <v>Friday.</v>
      </c>
      <c r="N48" s="10"/>
      <c r="O48" s="9"/>
      <c r="P48" s="9"/>
      <c r="Q48" s="8">
        <v>3.0</v>
      </c>
      <c r="R48" s="8">
        <v>146.0</v>
      </c>
    </row>
    <row r="49" ht="19.5" customHeight="1">
      <c r="A49" s="8">
        <v>48.0</v>
      </c>
      <c r="B49" s="4" t="s">
        <v>11</v>
      </c>
      <c r="C49" s="4" t="s">
        <v>183</v>
      </c>
      <c r="D49" s="5" t="s">
        <v>204</v>
      </c>
      <c r="E49" s="5" t="s">
        <v>205</v>
      </c>
      <c r="F49" s="5" t="s">
        <v>206</v>
      </c>
      <c r="G49" s="5" t="s">
        <v>207</v>
      </c>
      <c r="H49" s="6" t="str">
        <f>IFERROR(__xludf.DUMMYFUNCTION("split(G49, "" "")"),"The")</f>
        <v>The</v>
      </c>
      <c r="I49" s="5" t="str">
        <f>IFERROR(__xludf.DUMMYFUNCTION("""COMPUTED_VALUE"""),"exam")</f>
        <v>exam</v>
      </c>
      <c r="J49" s="5" t="str">
        <f>IFERROR(__xludf.DUMMYFUNCTION("""COMPUTED_VALUE"""),"starts")</f>
        <v>starts</v>
      </c>
      <c r="K49" s="5" t="str">
        <f>IFERROR(__xludf.DUMMYFUNCTION("""COMPUTED_VALUE"""),"at")</f>
        <v>at</v>
      </c>
      <c r="L49" s="5" t="str">
        <f>IFERROR(__xludf.DUMMYFUNCTION("""COMPUTED_VALUE"""),"nine.")</f>
        <v>nine.</v>
      </c>
      <c r="M49" s="5"/>
      <c r="N49" s="5"/>
      <c r="O49" s="4"/>
      <c r="P49" s="4"/>
      <c r="Q49" s="3">
        <v>4.0</v>
      </c>
      <c r="R49" s="8">
        <v>1235.0</v>
      </c>
    </row>
    <row r="50" ht="19.5" customHeight="1">
      <c r="A50" s="3">
        <v>49.0</v>
      </c>
      <c r="B50" s="9" t="s">
        <v>11</v>
      </c>
      <c r="C50" s="9" t="s">
        <v>183</v>
      </c>
      <c r="D50" s="10" t="s">
        <v>208</v>
      </c>
      <c r="E50" s="10" t="s">
        <v>209</v>
      </c>
      <c r="F50" s="10" t="s">
        <v>210</v>
      </c>
      <c r="G50" s="10" t="s">
        <v>211</v>
      </c>
      <c r="H50" s="6" t="str">
        <f>IFERROR(__xludf.DUMMYFUNCTION("split(G50, "" "")"),"I")</f>
        <v>I</v>
      </c>
      <c r="I50" s="10" t="str">
        <f>IFERROR(__xludf.DUMMYFUNCTION("""COMPUTED_VALUE"""),"got")</f>
        <v>got</v>
      </c>
      <c r="J50" s="10" t="str">
        <f>IFERROR(__xludf.DUMMYFUNCTION("""COMPUTED_VALUE"""),"a")</f>
        <v>a</v>
      </c>
      <c r="K50" s="10" t="str">
        <f>IFERROR(__xludf.DUMMYFUNCTION("""COMPUTED_VALUE"""),"good")</f>
        <v>good</v>
      </c>
      <c r="L50" s="10" t="str">
        <f>IFERROR(__xludf.DUMMYFUNCTION("""COMPUTED_VALUE"""),"grade.")</f>
        <v>grade.</v>
      </c>
      <c r="M50" s="10"/>
      <c r="N50" s="10"/>
      <c r="O50" s="9"/>
      <c r="P50" s="9"/>
      <c r="Q50" s="8">
        <v>4.0</v>
      </c>
      <c r="R50" s="8">
        <v>1245.0</v>
      </c>
    </row>
    <row r="51" ht="19.5" customHeight="1">
      <c r="A51" s="8">
        <v>50.0</v>
      </c>
      <c r="B51" s="4" t="s">
        <v>11</v>
      </c>
      <c r="C51" s="4" t="s">
        <v>183</v>
      </c>
      <c r="D51" s="5" t="s">
        <v>212</v>
      </c>
      <c r="E51" s="5" t="s">
        <v>213</v>
      </c>
      <c r="F51" s="5" t="s">
        <v>214</v>
      </c>
      <c r="G51" s="5" t="s">
        <v>215</v>
      </c>
      <c r="H51" s="6" t="str">
        <f>IFERROR(__xludf.DUMMYFUNCTION("split(G51, "" "")"),"My")</f>
        <v>My</v>
      </c>
      <c r="I51" s="5" t="str">
        <f>IFERROR(__xludf.DUMMYFUNCTION("""COMPUTED_VALUE"""),"mark")</f>
        <v>mark</v>
      </c>
      <c r="J51" s="5" t="str">
        <f>IFERROR(__xludf.DUMMYFUNCTION("""COMPUTED_VALUE"""),"is")</f>
        <v>is</v>
      </c>
      <c r="K51" s="5" t="str">
        <f>IFERROR(__xludf.DUMMYFUNCTION("""COMPUTED_VALUE"""),"better")</f>
        <v>better</v>
      </c>
      <c r="L51" s="5" t="str">
        <f>IFERROR(__xludf.DUMMYFUNCTION("""COMPUTED_VALUE"""),"now.")</f>
        <v>now.</v>
      </c>
      <c r="M51" s="5"/>
      <c r="N51" s="5"/>
      <c r="O51" s="4"/>
      <c r="P51" s="4"/>
      <c r="Q51" s="3">
        <v>4.0</v>
      </c>
      <c r="R51" s="8">
        <v>1245.0</v>
      </c>
    </row>
    <row r="52" ht="19.5" customHeight="1">
      <c r="A52" s="3">
        <v>51.0</v>
      </c>
      <c r="B52" s="9" t="s">
        <v>11</v>
      </c>
      <c r="C52" s="9" t="s">
        <v>183</v>
      </c>
      <c r="D52" s="10" t="s">
        <v>216</v>
      </c>
      <c r="E52" s="10" t="s">
        <v>217</v>
      </c>
      <c r="F52" s="10" t="s">
        <v>214</v>
      </c>
      <c r="G52" s="10" t="s">
        <v>218</v>
      </c>
      <c r="H52" s="6" t="str">
        <f>IFERROR(__xludf.DUMMYFUNCTION("split(G52, "" "")"),"His")</f>
        <v>His</v>
      </c>
      <c r="I52" s="10" t="str">
        <f>IFERROR(__xludf.DUMMYFUNCTION("""COMPUTED_VALUE"""),"score")</f>
        <v>score</v>
      </c>
      <c r="J52" s="10" t="str">
        <f>IFERROR(__xludf.DUMMYFUNCTION("""COMPUTED_VALUE"""),"is")</f>
        <v>is</v>
      </c>
      <c r="K52" s="10" t="str">
        <f>IFERROR(__xludf.DUMMYFUNCTION("""COMPUTED_VALUE"""),"very")</f>
        <v>very</v>
      </c>
      <c r="L52" s="10" t="str">
        <f>IFERROR(__xludf.DUMMYFUNCTION("""COMPUTED_VALUE"""),"high.")</f>
        <v>high.</v>
      </c>
      <c r="M52" s="10"/>
      <c r="N52" s="10"/>
      <c r="O52" s="9"/>
      <c r="P52" s="9"/>
      <c r="Q52" s="8">
        <v>3.0</v>
      </c>
      <c r="R52" s="8">
        <v>125.0</v>
      </c>
    </row>
    <row r="53" ht="19.5" customHeight="1">
      <c r="A53" s="8">
        <v>52.0</v>
      </c>
      <c r="B53" s="4" t="s">
        <v>11</v>
      </c>
      <c r="C53" s="4" t="s">
        <v>183</v>
      </c>
      <c r="D53" s="5" t="s">
        <v>219</v>
      </c>
      <c r="E53" s="5" t="s">
        <v>220</v>
      </c>
      <c r="F53" s="5" t="s">
        <v>221</v>
      </c>
      <c r="G53" s="5" t="s">
        <v>222</v>
      </c>
      <c r="H53" s="6" t="str">
        <f>IFERROR(__xludf.DUMMYFUNCTION("split(G53, "" "")"),"I")</f>
        <v>I</v>
      </c>
      <c r="I53" s="5" t="str">
        <f>IFERROR(__xludf.DUMMYFUNCTION("""COMPUTED_VALUE"""),"made")</f>
        <v>made</v>
      </c>
      <c r="J53" s="5" t="str">
        <f>IFERROR(__xludf.DUMMYFUNCTION("""COMPUTED_VALUE"""),"a")</f>
        <v>a</v>
      </c>
      <c r="K53" s="5" t="str">
        <f>IFERROR(__xludf.DUMMYFUNCTION("""COMPUTED_VALUE"""),"small")</f>
        <v>small</v>
      </c>
      <c r="L53" s="5" t="str">
        <f>IFERROR(__xludf.DUMMYFUNCTION("""COMPUTED_VALUE"""),"mistake.")</f>
        <v>mistake.</v>
      </c>
      <c r="M53" s="5"/>
      <c r="N53" s="5"/>
      <c r="O53" s="4"/>
      <c r="P53" s="4"/>
      <c r="Q53" s="3">
        <v>4.0</v>
      </c>
      <c r="R53" s="8">
        <v>1245.0</v>
      </c>
    </row>
    <row r="54" ht="19.5" customHeight="1">
      <c r="A54" s="3">
        <v>53.0</v>
      </c>
      <c r="B54" s="9" t="s">
        <v>11</v>
      </c>
      <c r="C54" s="9" t="s">
        <v>183</v>
      </c>
      <c r="D54" s="10" t="s">
        <v>223</v>
      </c>
      <c r="E54" s="10" t="s">
        <v>224</v>
      </c>
      <c r="F54" s="10" t="s">
        <v>225</v>
      </c>
      <c r="G54" s="10" t="s">
        <v>226</v>
      </c>
      <c r="H54" s="6" t="str">
        <f>IFERROR(__xludf.DUMMYFUNCTION("split(G54, "" "")"),"We")</f>
        <v>We</v>
      </c>
      <c r="I54" s="10" t="str">
        <f>IFERROR(__xludf.DUMMYFUNCTION("""COMPUTED_VALUE"""),"follow")</f>
        <v>follow</v>
      </c>
      <c r="J54" s="10" t="str">
        <f>IFERROR(__xludf.DUMMYFUNCTION("""COMPUTED_VALUE"""),"the")</f>
        <v>the</v>
      </c>
      <c r="K54" s="10" t="str">
        <f>IFERROR(__xludf.DUMMYFUNCTION("""COMPUTED_VALUE"""),"class")</f>
        <v>class</v>
      </c>
      <c r="L54" s="10" t="str">
        <f>IFERROR(__xludf.DUMMYFUNCTION("""COMPUTED_VALUE"""),"rules.")</f>
        <v>rules.</v>
      </c>
      <c r="M54" s="10"/>
      <c r="N54" s="10"/>
      <c r="O54" s="9"/>
      <c r="P54" s="9"/>
      <c r="Q54" s="8">
        <v>4.0</v>
      </c>
      <c r="R54" s="8">
        <v>1245.0</v>
      </c>
    </row>
    <row r="55" ht="19.5" customHeight="1">
      <c r="A55" s="8">
        <v>54.0</v>
      </c>
      <c r="B55" s="4" t="s">
        <v>11</v>
      </c>
      <c r="C55" s="4" t="s">
        <v>183</v>
      </c>
      <c r="D55" s="5" t="s">
        <v>227</v>
      </c>
      <c r="E55" s="5" t="s">
        <v>228</v>
      </c>
      <c r="F55" s="5" t="s">
        <v>229</v>
      </c>
      <c r="G55" s="5" t="s">
        <v>230</v>
      </c>
      <c r="H55" s="6" t="str">
        <f>IFERROR(__xludf.DUMMYFUNCTION("split(G55, "" "")"),"Our")</f>
        <v>Our</v>
      </c>
      <c r="I55" s="5" t="str">
        <f>IFERROR(__xludf.DUMMYFUNCTION("""COMPUTED_VALUE"""),"project")</f>
        <v>project</v>
      </c>
      <c r="J55" s="5" t="str">
        <f>IFERROR(__xludf.DUMMYFUNCTION("""COMPUTED_VALUE"""),"is")</f>
        <v>is</v>
      </c>
      <c r="K55" s="5" t="str">
        <f>IFERROR(__xludf.DUMMYFUNCTION("""COMPUTED_VALUE"""),"about")</f>
        <v>about</v>
      </c>
      <c r="L55" s="5" t="str">
        <f>IFERROR(__xludf.DUMMYFUNCTION("""COMPUTED_VALUE"""),"schools.")</f>
        <v>schools.</v>
      </c>
      <c r="M55" s="5"/>
      <c r="N55" s="5"/>
      <c r="O55" s="4"/>
      <c r="P55" s="4"/>
      <c r="Q55" s="3">
        <v>3.0</v>
      </c>
      <c r="R55" s="8">
        <v>125.0</v>
      </c>
    </row>
    <row r="56" ht="19.5" customHeight="1">
      <c r="A56" s="3">
        <v>55.0</v>
      </c>
      <c r="B56" s="9" t="s">
        <v>11</v>
      </c>
      <c r="C56" s="9" t="s">
        <v>183</v>
      </c>
      <c r="D56" s="10" t="s">
        <v>231</v>
      </c>
      <c r="E56" s="10" t="s">
        <v>232</v>
      </c>
      <c r="F56" s="10" t="s">
        <v>233</v>
      </c>
      <c r="G56" s="10" t="s">
        <v>234</v>
      </c>
      <c r="H56" s="6" t="str">
        <f>IFERROR(__xludf.DUMMYFUNCTION("split(G56, "" "")"),"I")</f>
        <v>I</v>
      </c>
      <c r="I56" s="10" t="str">
        <f>IFERROR(__xludf.DUMMYFUNCTION("""COMPUTED_VALUE"""),"give")</f>
        <v>give</v>
      </c>
      <c r="J56" s="10" t="str">
        <f>IFERROR(__xludf.DUMMYFUNCTION("""COMPUTED_VALUE"""),"a")</f>
        <v>a</v>
      </c>
      <c r="K56" s="10" t="str">
        <f>IFERROR(__xludf.DUMMYFUNCTION("""COMPUTED_VALUE"""),"short")</f>
        <v>short</v>
      </c>
      <c r="L56" s="10" t="str">
        <f>IFERROR(__xludf.DUMMYFUNCTION("""COMPUTED_VALUE"""),"presentation.")</f>
        <v>presentation.</v>
      </c>
      <c r="M56" s="10"/>
      <c r="N56" s="10"/>
      <c r="O56" s="9"/>
      <c r="P56" s="9"/>
      <c r="Q56" s="8">
        <v>4.0</v>
      </c>
      <c r="R56" s="8">
        <v>1245.0</v>
      </c>
    </row>
    <row r="57" ht="19.5" customHeight="1">
      <c r="A57" s="8">
        <v>56.0</v>
      </c>
      <c r="B57" s="4" t="s">
        <v>11</v>
      </c>
      <c r="C57" s="4" t="s">
        <v>183</v>
      </c>
      <c r="D57" s="5" t="s">
        <v>235</v>
      </c>
      <c r="E57" s="5" t="s">
        <v>236</v>
      </c>
      <c r="F57" s="5" t="s">
        <v>237</v>
      </c>
      <c r="G57" s="5" t="s">
        <v>238</v>
      </c>
      <c r="H57" s="6" t="str">
        <f>IFERROR(__xludf.DUMMYFUNCTION("split(G57, "" "")"),"She")</f>
        <v>She</v>
      </c>
      <c r="I57" s="5" t="str">
        <f>IFERROR(__xludf.DUMMYFUNCTION("""COMPUTED_VALUE"""),"writes")</f>
        <v>writes</v>
      </c>
      <c r="J57" s="5" t="str">
        <f>IFERROR(__xludf.DUMMYFUNCTION("""COMPUTED_VALUE"""),"an")</f>
        <v>an</v>
      </c>
      <c r="K57" s="5" t="str">
        <f>IFERROR(__xludf.DUMMYFUNCTION("""COMPUTED_VALUE"""),"essay")</f>
        <v>essay</v>
      </c>
      <c r="L57" s="5" t="str">
        <f>IFERROR(__xludf.DUMMYFUNCTION("""COMPUTED_VALUE"""),"at")</f>
        <v>at</v>
      </c>
      <c r="M57" s="5" t="str">
        <f>IFERROR(__xludf.DUMMYFUNCTION("""COMPUTED_VALUE"""),"home.")</f>
        <v>home.</v>
      </c>
      <c r="N57" s="5"/>
      <c r="O57" s="4"/>
      <c r="P57" s="4"/>
      <c r="Q57" s="3">
        <v>4.0</v>
      </c>
      <c r="R57" s="8">
        <v>1246.0</v>
      </c>
    </row>
    <row r="58" ht="19.5" customHeight="1">
      <c r="A58" s="3">
        <v>57.0</v>
      </c>
      <c r="B58" s="9" t="s">
        <v>11</v>
      </c>
      <c r="C58" s="9" t="s">
        <v>183</v>
      </c>
      <c r="D58" s="10" t="s">
        <v>239</v>
      </c>
      <c r="E58" s="10" t="s">
        <v>240</v>
      </c>
      <c r="F58" s="10" t="s">
        <v>241</v>
      </c>
      <c r="G58" s="10" t="s">
        <v>242</v>
      </c>
      <c r="H58" s="6" t="str">
        <f>IFERROR(__xludf.DUMMYFUNCTION("split(G58, "" "")"),"I")</f>
        <v>I</v>
      </c>
      <c r="I58" s="10" t="str">
        <f>IFERROR(__xludf.DUMMYFUNCTION("""COMPUTED_VALUE"""),"write")</f>
        <v>write</v>
      </c>
      <c r="J58" s="10" t="str">
        <f>IFERROR(__xludf.DUMMYFUNCTION("""COMPUTED_VALUE"""),"a")</f>
        <v>a</v>
      </c>
      <c r="K58" s="10" t="str">
        <f>IFERROR(__xludf.DUMMYFUNCTION("""COMPUTED_VALUE"""),"note")</f>
        <v>note</v>
      </c>
      <c r="L58" s="10" t="str">
        <f>IFERROR(__xludf.DUMMYFUNCTION("""COMPUTED_VALUE"""),"in")</f>
        <v>in</v>
      </c>
      <c r="M58" s="10" t="str">
        <f>IFERROR(__xludf.DUMMYFUNCTION("""COMPUTED_VALUE"""),"my")</f>
        <v>my</v>
      </c>
      <c r="N58" s="10" t="str">
        <f>IFERROR(__xludf.DUMMYFUNCTION("""COMPUTED_VALUE"""),"book.")</f>
        <v>book.</v>
      </c>
      <c r="O58" s="9"/>
      <c r="P58" s="9"/>
      <c r="Q58" s="8">
        <v>4.0</v>
      </c>
      <c r="R58" s="8">
        <v>1247.0</v>
      </c>
    </row>
    <row r="59" ht="19.5" customHeight="1">
      <c r="A59" s="8">
        <v>58.0</v>
      </c>
      <c r="B59" s="4" t="s">
        <v>11</v>
      </c>
      <c r="C59" s="4" t="s">
        <v>243</v>
      </c>
      <c r="D59" s="5" t="s">
        <v>244</v>
      </c>
      <c r="E59" s="5" t="s">
        <v>245</v>
      </c>
      <c r="F59" s="5" t="s">
        <v>246</v>
      </c>
      <c r="G59" s="5" t="s">
        <v>247</v>
      </c>
      <c r="H59" s="6" t="str">
        <f>IFERROR(__xludf.DUMMYFUNCTION("split(G59, "" "")"),"I")</f>
        <v>I</v>
      </c>
      <c r="I59" s="5" t="str">
        <f>IFERROR(__xludf.DUMMYFUNCTION("""COMPUTED_VALUE"""),"learn")</f>
        <v>learn</v>
      </c>
      <c r="J59" s="5" t="str">
        <f>IFERROR(__xludf.DUMMYFUNCTION("""COMPUTED_VALUE"""),"English")</f>
        <v>English</v>
      </c>
      <c r="K59" s="5" t="str">
        <f>IFERROR(__xludf.DUMMYFUNCTION("""COMPUTED_VALUE"""),"every")</f>
        <v>every</v>
      </c>
      <c r="L59" s="5" t="str">
        <f>IFERROR(__xludf.DUMMYFUNCTION("""COMPUTED_VALUE"""),"day.")</f>
        <v>day.</v>
      </c>
      <c r="M59" s="5"/>
      <c r="N59" s="5"/>
      <c r="O59" s="4"/>
      <c r="P59" s="4"/>
      <c r="Q59" s="3">
        <v>4.0</v>
      </c>
      <c r="R59" s="8">
        <v>1235.0</v>
      </c>
    </row>
    <row r="60" ht="19.5" customHeight="1">
      <c r="A60" s="3">
        <v>59.0</v>
      </c>
      <c r="B60" s="9" t="s">
        <v>11</v>
      </c>
      <c r="C60" s="9" t="s">
        <v>243</v>
      </c>
      <c r="D60" s="10" t="s">
        <v>248</v>
      </c>
      <c r="E60" s="10" t="s">
        <v>249</v>
      </c>
      <c r="F60" s="10" t="s">
        <v>250</v>
      </c>
      <c r="G60" s="10" t="s">
        <v>251</v>
      </c>
      <c r="H60" s="6" t="str">
        <f>IFERROR(__xludf.DUMMYFUNCTION("split(G60, "" "")"),"We")</f>
        <v>We</v>
      </c>
      <c r="I60" s="10" t="str">
        <f>IFERROR(__xludf.DUMMYFUNCTION("""COMPUTED_VALUE"""),"study")</f>
        <v>study</v>
      </c>
      <c r="J60" s="10" t="str">
        <f>IFERROR(__xludf.DUMMYFUNCTION("""COMPUTED_VALUE"""),"at")</f>
        <v>at</v>
      </c>
      <c r="K60" s="10" t="str">
        <f>IFERROR(__xludf.DUMMYFUNCTION("""COMPUTED_VALUE"""),"the")</f>
        <v>the</v>
      </c>
      <c r="L60" s="10" t="str">
        <f>IFERROR(__xludf.DUMMYFUNCTION("""COMPUTED_VALUE"""),"library.")</f>
        <v>library.</v>
      </c>
      <c r="M60" s="10"/>
      <c r="N60" s="10"/>
      <c r="O60" s="9"/>
      <c r="P60" s="9"/>
      <c r="Q60" s="8">
        <v>3.0</v>
      </c>
      <c r="R60" s="8">
        <v>125.0</v>
      </c>
    </row>
    <row r="61" ht="19.5" customHeight="1">
      <c r="A61" s="8">
        <v>60.0</v>
      </c>
      <c r="B61" s="9" t="s">
        <v>11</v>
      </c>
      <c r="C61" s="9" t="s">
        <v>243</v>
      </c>
      <c r="D61" s="10" t="s">
        <v>252</v>
      </c>
      <c r="E61" s="10" t="s">
        <v>253</v>
      </c>
      <c r="F61" s="10" t="s">
        <v>254</v>
      </c>
      <c r="G61" s="10" t="s">
        <v>255</v>
      </c>
      <c r="H61" s="6" t="str">
        <f>IFERROR(__xludf.DUMMYFUNCTION("split(G61, "" "")"),"Please")</f>
        <v>Please</v>
      </c>
      <c r="I61" s="10" t="str">
        <f>IFERROR(__xludf.DUMMYFUNCTION("""COMPUTED_VALUE"""),"write")</f>
        <v>write</v>
      </c>
      <c r="J61" s="10" t="str">
        <f>IFERROR(__xludf.DUMMYFUNCTION("""COMPUTED_VALUE"""),"your")</f>
        <v>your</v>
      </c>
      <c r="K61" s="10" t="str">
        <f>IFERROR(__xludf.DUMMYFUNCTION("""COMPUTED_VALUE"""),"name.")</f>
        <v>name.</v>
      </c>
      <c r="L61" s="10"/>
      <c r="M61" s="10"/>
      <c r="N61" s="10"/>
      <c r="O61" s="9"/>
      <c r="P61" s="9"/>
      <c r="Q61" s="8">
        <v>3.0</v>
      </c>
      <c r="R61" s="8">
        <v>124.0</v>
      </c>
    </row>
    <row r="62" ht="19.5" customHeight="1">
      <c r="A62" s="3">
        <v>61.0</v>
      </c>
      <c r="B62" s="4" t="s">
        <v>11</v>
      </c>
      <c r="C62" s="4" t="s">
        <v>243</v>
      </c>
      <c r="D62" s="5" t="s">
        <v>256</v>
      </c>
      <c r="E62" s="5" t="s">
        <v>257</v>
      </c>
      <c r="F62" s="5" t="s">
        <v>258</v>
      </c>
      <c r="G62" s="5" t="s">
        <v>259</v>
      </c>
      <c r="H62" s="6" t="str">
        <f>IFERROR(__xludf.DUMMYFUNCTION("split(G62, "" "")"),"Students")</f>
        <v>Students</v>
      </c>
      <c r="I62" s="5" t="str">
        <f>IFERROR(__xludf.DUMMYFUNCTION("""COMPUTED_VALUE"""),"listen")</f>
        <v>listen</v>
      </c>
      <c r="J62" s="5" t="str">
        <f>IFERROR(__xludf.DUMMYFUNCTION("""COMPUTED_VALUE"""),"to")</f>
        <v>to</v>
      </c>
      <c r="K62" s="5" t="str">
        <f>IFERROR(__xludf.DUMMYFUNCTION("""COMPUTED_VALUE"""),"the")</f>
        <v>the</v>
      </c>
      <c r="L62" s="5" t="str">
        <f>IFERROR(__xludf.DUMMYFUNCTION("""COMPUTED_VALUE"""),"teacher.")</f>
        <v>teacher.</v>
      </c>
      <c r="M62" s="5"/>
      <c r="N62" s="5"/>
      <c r="O62" s="4"/>
      <c r="P62" s="4"/>
      <c r="Q62" s="3">
        <v>3.0</v>
      </c>
      <c r="R62" s="8">
        <v>125.0</v>
      </c>
    </row>
    <row r="63" ht="19.5" customHeight="1">
      <c r="A63" s="8">
        <v>62.0</v>
      </c>
      <c r="B63" s="9" t="s">
        <v>11</v>
      </c>
      <c r="C63" s="9" t="s">
        <v>243</v>
      </c>
      <c r="D63" s="10" t="s">
        <v>260</v>
      </c>
      <c r="E63" s="10" t="s">
        <v>261</v>
      </c>
      <c r="F63" s="10" t="s">
        <v>262</v>
      </c>
      <c r="G63" s="10" t="s">
        <v>263</v>
      </c>
      <c r="H63" s="6" t="str">
        <f>IFERROR(__xludf.DUMMYFUNCTION("split(G63, "" "")"),"I")</f>
        <v>I</v>
      </c>
      <c r="I63" s="10" t="str">
        <f>IFERROR(__xludf.DUMMYFUNCTION("""COMPUTED_VALUE"""),"speak")</f>
        <v>speak</v>
      </c>
      <c r="J63" s="10" t="str">
        <f>IFERROR(__xludf.DUMMYFUNCTION("""COMPUTED_VALUE"""),"English")</f>
        <v>English</v>
      </c>
      <c r="K63" s="10" t="str">
        <f>IFERROR(__xludf.DUMMYFUNCTION("""COMPUTED_VALUE"""),"in")</f>
        <v>in</v>
      </c>
      <c r="L63" s="10" t="str">
        <f>IFERROR(__xludf.DUMMYFUNCTION("""COMPUTED_VALUE"""),"class.")</f>
        <v>class.</v>
      </c>
      <c r="M63" s="10"/>
      <c r="N63" s="10"/>
      <c r="O63" s="9"/>
      <c r="P63" s="9"/>
      <c r="Q63" s="8">
        <v>4.0</v>
      </c>
      <c r="R63" s="8">
        <v>1235.0</v>
      </c>
    </row>
    <row r="64" ht="19.5" customHeight="1">
      <c r="A64" s="3">
        <v>63.0</v>
      </c>
      <c r="B64" s="4" t="s">
        <v>11</v>
      </c>
      <c r="C64" s="4" t="s">
        <v>243</v>
      </c>
      <c r="D64" s="5" t="s">
        <v>264</v>
      </c>
      <c r="E64" s="5" t="s">
        <v>265</v>
      </c>
      <c r="F64" s="5" t="s">
        <v>266</v>
      </c>
      <c r="G64" s="5" t="s">
        <v>267</v>
      </c>
      <c r="H64" s="6" t="str">
        <f>IFERROR(__xludf.DUMMYFUNCTION("split(G64, "" "")"),"You")</f>
        <v>You</v>
      </c>
      <c r="I64" s="5" t="str">
        <f>IFERROR(__xludf.DUMMYFUNCTION("""COMPUTED_VALUE"""),"can")</f>
        <v>can</v>
      </c>
      <c r="J64" s="5" t="str">
        <f>IFERROR(__xludf.DUMMYFUNCTION("""COMPUTED_VALUE"""),"ask")</f>
        <v>ask</v>
      </c>
      <c r="K64" s="5" t="str">
        <f>IFERROR(__xludf.DUMMYFUNCTION("""COMPUTED_VALUE"""),"the")</f>
        <v>the</v>
      </c>
      <c r="L64" s="5" t="str">
        <f>IFERROR(__xludf.DUMMYFUNCTION("""COMPUTED_VALUE"""),"teacher.")</f>
        <v>teacher.</v>
      </c>
      <c r="M64" s="5"/>
      <c r="N64" s="5"/>
      <c r="O64" s="4"/>
      <c r="P64" s="4"/>
      <c r="Q64" s="3">
        <v>3.0</v>
      </c>
      <c r="R64" s="8">
        <v>135.0</v>
      </c>
    </row>
    <row r="65" ht="19.5" customHeight="1">
      <c r="A65" s="8">
        <v>64.0</v>
      </c>
      <c r="B65" s="9" t="s">
        <v>11</v>
      </c>
      <c r="C65" s="9" t="s">
        <v>243</v>
      </c>
      <c r="D65" s="10" t="s">
        <v>268</v>
      </c>
      <c r="E65" s="10" t="s">
        <v>269</v>
      </c>
      <c r="F65" s="10" t="s">
        <v>270</v>
      </c>
      <c r="G65" s="10" t="s">
        <v>271</v>
      </c>
      <c r="H65" s="6" t="str">
        <f>IFERROR(__xludf.DUMMYFUNCTION("split(G65, "" "")"),"Repeat")</f>
        <v>Repeat</v>
      </c>
      <c r="I65" s="10" t="str">
        <f>IFERROR(__xludf.DUMMYFUNCTION("""COMPUTED_VALUE"""),"the")</f>
        <v>the</v>
      </c>
      <c r="J65" s="10" t="str">
        <f>IFERROR(__xludf.DUMMYFUNCTION("""COMPUTED_VALUE"""),"word")</f>
        <v>word</v>
      </c>
      <c r="K65" s="10" t="str">
        <f>IFERROR(__xludf.DUMMYFUNCTION("""COMPUTED_VALUE"""),"after")</f>
        <v>after</v>
      </c>
      <c r="L65" s="10" t="str">
        <f>IFERROR(__xludf.DUMMYFUNCTION("""COMPUTED_VALUE"""),"me.")</f>
        <v>me.</v>
      </c>
      <c r="M65" s="10"/>
      <c r="N65" s="10"/>
      <c r="O65" s="9"/>
      <c r="P65" s="9"/>
      <c r="Q65" s="8">
        <v>3.0</v>
      </c>
      <c r="R65" s="8">
        <v>135.0</v>
      </c>
    </row>
    <row r="66" ht="19.5" customHeight="1">
      <c r="A66" s="3">
        <v>65.0</v>
      </c>
      <c r="B66" s="4" t="s">
        <v>11</v>
      </c>
      <c r="C66" s="4" t="s">
        <v>243</v>
      </c>
      <c r="D66" s="5" t="s">
        <v>272</v>
      </c>
      <c r="E66" s="5" t="s">
        <v>273</v>
      </c>
      <c r="F66" s="5" t="s">
        <v>274</v>
      </c>
      <c r="G66" s="5" t="s">
        <v>275</v>
      </c>
      <c r="H66" s="6" t="str">
        <f>IFERROR(__xludf.DUMMYFUNCTION("split(G66, "" "")"),"I")</f>
        <v>I</v>
      </c>
      <c r="I66" s="5" t="str">
        <f>IFERROR(__xludf.DUMMYFUNCTION("""COMPUTED_VALUE"""),"practice")</f>
        <v>practice</v>
      </c>
      <c r="J66" s="5" t="str">
        <f>IFERROR(__xludf.DUMMYFUNCTION("""COMPUTED_VALUE"""),"speaking")</f>
        <v>speaking</v>
      </c>
      <c r="K66" s="5" t="str">
        <f>IFERROR(__xludf.DUMMYFUNCTION("""COMPUTED_VALUE"""),"at")</f>
        <v>at</v>
      </c>
      <c r="L66" s="5" t="str">
        <f>IFERROR(__xludf.DUMMYFUNCTION("""COMPUTED_VALUE"""),"home.")</f>
        <v>home.</v>
      </c>
      <c r="M66" s="5"/>
      <c r="N66" s="5"/>
      <c r="O66" s="4"/>
      <c r="P66" s="4"/>
      <c r="Q66" s="3">
        <v>4.0</v>
      </c>
      <c r="R66" s="8">
        <v>1235.0</v>
      </c>
    </row>
    <row r="67" ht="19.5" customHeight="1">
      <c r="A67" s="8">
        <v>66.0</v>
      </c>
      <c r="B67" s="9" t="s">
        <v>11</v>
      </c>
      <c r="C67" s="9" t="s">
        <v>243</v>
      </c>
      <c r="D67" s="10" t="s">
        <v>276</v>
      </c>
      <c r="E67" s="10" t="s">
        <v>277</v>
      </c>
      <c r="F67" s="10" t="s">
        <v>278</v>
      </c>
      <c r="G67" s="10" t="s">
        <v>279</v>
      </c>
      <c r="H67" s="6" t="str">
        <f>IFERROR(__xludf.DUMMYFUNCTION("split(G67, "" "")"),"I")</f>
        <v>I</v>
      </c>
      <c r="I67" s="10" t="str">
        <f>IFERROR(__xludf.DUMMYFUNCTION("""COMPUTED_VALUE"""),"remember")</f>
        <v>remember</v>
      </c>
      <c r="J67" s="10" t="str">
        <f>IFERROR(__xludf.DUMMYFUNCTION("""COMPUTED_VALUE"""),"the")</f>
        <v>the</v>
      </c>
      <c r="K67" s="10" t="str">
        <f>IFERROR(__xludf.DUMMYFUNCTION("""COMPUTED_VALUE"""),"new")</f>
        <v>new</v>
      </c>
      <c r="L67" s="10" t="str">
        <f>IFERROR(__xludf.DUMMYFUNCTION("""COMPUTED_VALUE"""),"words.")</f>
        <v>words.</v>
      </c>
      <c r="M67" s="10"/>
      <c r="N67" s="10"/>
      <c r="O67" s="9"/>
      <c r="P67" s="9"/>
      <c r="Q67" s="8">
        <v>4.0</v>
      </c>
      <c r="R67" s="8">
        <v>1245.0</v>
      </c>
    </row>
    <row r="68" ht="19.5" customHeight="1">
      <c r="A68" s="3">
        <v>67.0</v>
      </c>
      <c r="B68" s="4" t="s">
        <v>11</v>
      </c>
      <c r="C68" s="4" t="s">
        <v>243</v>
      </c>
      <c r="D68" s="5" t="s">
        <v>280</v>
      </c>
      <c r="E68" s="5" t="s">
        <v>281</v>
      </c>
      <c r="F68" s="5" t="s">
        <v>282</v>
      </c>
      <c r="G68" s="5" t="s">
        <v>283</v>
      </c>
      <c r="H68" s="6" t="str">
        <f>IFERROR(__xludf.DUMMYFUNCTION("split(G68, "" "")"),"Do")</f>
        <v>Do</v>
      </c>
      <c r="I68" s="5" t="str">
        <f>IFERROR(__xludf.DUMMYFUNCTION("""COMPUTED_VALUE"""),"not")</f>
        <v>not</v>
      </c>
      <c r="J68" s="5" t="str">
        <f>IFERROR(__xludf.DUMMYFUNCTION("""COMPUTED_VALUE"""),"forget")</f>
        <v>forget</v>
      </c>
      <c r="K68" s="5" t="str">
        <f>IFERROR(__xludf.DUMMYFUNCTION("""COMPUTED_VALUE"""),"your")</f>
        <v>your</v>
      </c>
      <c r="L68" s="5" t="str">
        <f>IFERROR(__xludf.DUMMYFUNCTION("""COMPUTED_VALUE"""),"homework.")</f>
        <v>homework.</v>
      </c>
      <c r="M68" s="5"/>
      <c r="N68" s="5"/>
      <c r="O68" s="4"/>
      <c r="P68" s="4"/>
      <c r="Q68" s="3">
        <v>4.0</v>
      </c>
      <c r="R68" s="8">
        <v>1235.0</v>
      </c>
    </row>
    <row r="69" ht="19.5" customHeight="1">
      <c r="A69" s="8">
        <v>68.0</v>
      </c>
      <c r="B69" s="9" t="s">
        <v>11</v>
      </c>
      <c r="C69" s="9" t="s">
        <v>243</v>
      </c>
      <c r="D69" s="10" t="s">
        <v>284</v>
      </c>
      <c r="E69" s="10" t="s">
        <v>285</v>
      </c>
      <c r="F69" s="10" t="s">
        <v>286</v>
      </c>
      <c r="G69" s="10" t="s">
        <v>287</v>
      </c>
      <c r="H69" s="6" t="str">
        <f>IFERROR(__xludf.DUMMYFUNCTION("split(G69, "" "")"),"I")</f>
        <v>I</v>
      </c>
      <c r="I69" s="10" t="str">
        <f>IFERROR(__xludf.DUMMYFUNCTION("""COMPUTED_VALUE"""),"understand")</f>
        <v>understand</v>
      </c>
      <c r="J69" s="10" t="str">
        <f>IFERROR(__xludf.DUMMYFUNCTION("""COMPUTED_VALUE"""),"this")</f>
        <v>this</v>
      </c>
      <c r="K69" s="10" t="str">
        <f>IFERROR(__xludf.DUMMYFUNCTION("""COMPUTED_VALUE"""),"lesson.")</f>
        <v>lesson.</v>
      </c>
      <c r="L69" s="10"/>
      <c r="M69" s="10"/>
      <c r="N69" s="10"/>
      <c r="O69" s="9"/>
      <c r="P69" s="9"/>
      <c r="Q69" s="8">
        <v>3.0</v>
      </c>
      <c r="R69" s="8">
        <v>124.0</v>
      </c>
    </row>
    <row r="70" ht="19.5" customHeight="1">
      <c r="A70" s="3">
        <v>69.0</v>
      </c>
      <c r="B70" s="4" t="s">
        <v>11</v>
      </c>
      <c r="C70" s="4" t="s">
        <v>243</v>
      </c>
      <c r="D70" s="5" t="s">
        <v>288</v>
      </c>
      <c r="E70" s="5" t="s">
        <v>289</v>
      </c>
      <c r="F70" s="5" t="s">
        <v>290</v>
      </c>
      <c r="G70" s="5" t="s">
        <v>291</v>
      </c>
      <c r="H70" s="6" t="str">
        <f>IFERROR(__xludf.DUMMYFUNCTION("split(G70, "" "")"),"The")</f>
        <v>The</v>
      </c>
      <c r="I70" s="5" t="str">
        <f>IFERROR(__xludf.DUMMYFUNCTION("""COMPUTED_VALUE"""),"teacher")</f>
        <v>teacher</v>
      </c>
      <c r="J70" s="5" t="str">
        <f>IFERROR(__xludf.DUMMYFUNCTION("""COMPUTED_VALUE"""),"explains")</f>
        <v>explains</v>
      </c>
      <c r="K70" s="5" t="str">
        <f>IFERROR(__xludf.DUMMYFUNCTION("""COMPUTED_VALUE"""),"the")</f>
        <v>the</v>
      </c>
      <c r="L70" s="5" t="str">
        <f>IFERROR(__xludf.DUMMYFUNCTION("""COMPUTED_VALUE"""),"answer.")</f>
        <v>answer.</v>
      </c>
      <c r="M70" s="5"/>
      <c r="N70" s="5"/>
      <c r="O70" s="4"/>
      <c r="P70" s="4"/>
      <c r="Q70" s="3">
        <v>4.0</v>
      </c>
      <c r="R70" s="8">
        <v>1235.0</v>
      </c>
    </row>
    <row r="71" ht="19.5" customHeight="1">
      <c r="A71" s="8">
        <v>70.0</v>
      </c>
      <c r="B71" s="9" t="s">
        <v>11</v>
      </c>
      <c r="C71" s="9" t="s">
        <v>243</v>
      </c>
      <c r="D71" s="10" t="s">
        <v>292</v>
      </c>
      <c r="E71" s="10" t="s">
        <v>293</v>
      </c>
      <c r="F71" s="10" t="s">
        <v>294</v>
      </c>
      <c r="G71" s="10" t="s">
        <v>295</v>
      </c>
      <c r="H71" s="6" t="str">
        <f>IFERROR(__xludf.DUMMYFUNCTION("split(G71, "" "")"),"She")</f>
        <v>She</v>
      </c>
      <c r="I71" s="10" t="str">
        <f>IFERROR(__xludf.DUMMYFUNCTION("""COMPUTED_VALUE"""),"teaches")</f>
        <v>teaches</v>
      </c>
      <c r="J71" s="10" t="str">
        <f>IFERROR(__xludf.DUMMYFUNCTION("""COMPUTED_VALUE"""),"English")</f>
        <v>English</v>
      </c>
      <c r="K71" s="10" t="str">
        <f>IFERROR(__xludf.DUMMYFUNCTION("""COMPUTED_VALUE"""),"at")</f>
        <v>at</v>
      </c>
      <c r="L71" s="10" t="str">
        <f>IFERROR(__xludf.DUMMYFUNCTION("""COMPUTED_VALUE"""),"school.")</f>
        <v>school.</v>
      </c>
      <c r="M71" s="10"/>
      <c r="N71" s="10"/>
      <c r="O71" s="9"/>
      <c r="P71" s="9"/>
      <c r="Q71" s="8">
        <v>4.0</v>
      </c>
      <c r="R71" s="8">
        <v>1235.0</v>
      </c>
    </row>
    <row r="72" ht="19.5" customHeight="1">
      <c r="A72" s="3">
        <v>71.0</v>
      </c>
      <c r="B72" s="4" t="s">
        <v>11</v>
      </c>
      <c r="C72" s="4" t="s">
        <v>243</v>
      </c>
      <c r="D72" s="5" t="s">
        <v>296</v>
      </c>
      <c r="E72" s="5" t="s">
        <v>297</v>
      </c>
      <c r="F72" s="5" t="s">
        <v>298</v>
      </c>
      <c r="G72" s="5" t="s">
        <v>299</v>
      </c>
      <c r="H72" s="6" t="str">
        <f>IFERROR(__xludf.DUMMYFUNCTION("split(G72, "" "")"),"My")</f>
        <v>My</v>
      </c>
      <c r="I72" s="5" t="str">
        <f>IFERROR(__xludf.DUMMYFUNCTION("""COMPUTED_VALUE"""),"friend")</f>
        <v>friend</v>
      </c>
      <c r="J72" s="5" t="str">
        <f>IFERROR(__xludf.DUMMYFUNCTION("""COMPUTED_VALUE"""),"helps")</f>
        <v>helps</v>
      </c>
      <c r="K72" s="5" t="str">
        <f>IFERROR(__xludf.DUMMYFUNCTION("""COMPUTED_VALUE"""),"me")</f>
        <v>me</v>
      </c>
      <c r="L72" s="5" t="str">
        <f>IFERROR(__xludf.DUMMYFUNCTION("""COMPUTED_VALUE"""),"learn.")</f>
        <v>learn.</v>
      </c>
      <c r="M72" s="5"/>
      <c r="N72" s="5"/>
      <c r="O72" s="4"/>
      <c r="P72" s="4"/>
      <c r="Q72" s="3">
        <v>4.0</v>
      </c>
      <c r="R72" s="8">
        <v>1235.0</v>
      </c>
    </row>
    <row r="73" ht="19.5" customHeight="1">
      <c r="A73" s="8">
        <v>72.0</v>
      </c>
      <c r="B73" s="9" t="s">
        <v>11</v>
      </c>
      <c r="C73" s="9" t="s">
        <v>243</v>
      </c>
      <c r="D73" s="10" t="s">
        <v>300</v>
      </c>
      <c r="E73" s="10" t="s">
        <v>301</v>
      </c>
      <c r="F73" s="10" t="s">
        <v>302</v>
      </c>
      <c r="G73" s="10" t="s">
        <v>303</v>
      </c>
      <c r="H73" s="6" t="str">
        <f>IFERROR(__xludf.DUMMYFUNCTION("split(G73, "" "")"),"We")</f>
        <v>We</v>
      </c>
      <c r="I73" s="10" t="str">
        <f>IFERROR(__xludf.DUMMYFUNCTION("""COMPUTED_VALUE"""),"share")</f>
        <v>share</v>
      </c>
      <c r="J73" s="10" t="str">
        <f>IFERROR(__xludf.DUMMYFUNCTION("""COMPUTED_VALUE"""),"one")</f>
        <v>one</v>
      </c>
      <c r="K73" s="10" t="str">
        <f>IFERROR(__xludf.DUMMYFUNCTION("""COMPUTED_VALUE"""),"book.")</f>
        <v>book.</v>
      </c>
      <c r="L73" s="10"/>
      <c r="M73" s="10"/>
      <c r="N73" s="10"/>
      <c r="O73" s="9"/>
      <c r="P73" s="9"/>
      <c r="Q73" s="8">
        <v>4.0</v>
      </c>
      <c r="R73" s="8">
        <v>1234.0</v>
      </c>
    </row>
    <row r="74" ht="19.5" customHeight="1">
      <c r="A74" s="3">
        <v>73.0</v>
      </c>
      <c r="B74" s="4" t="s">
        <v>11</v>
      </c>
      <c r="C74" s="4" t="s">
        <v>243</v>
      </c>
      <c r="D74" s="5" t="s">
        <v>304</v>
      </c>
      <c r="E74" s="5" t="s">
        <v>305</v>
      </c>
      <c r="F74" s="5" t="s">
        <v>306</v>
      </c>
      <c r="G74" s="5" t="s">
        <v>307</v>
      </c>
      <c r="H74" s="6" t="str">
        <f>IFERROR(__xludf.DUMMYFUNCTION("split(G74, "" "")"),"I")</f>
        <v>I</v>
      </c>
      <c r="I74" s="5" t="str">
        <f>IFERROR(__xludf.DUMMYFUNCTION("""COMPUTED_VALUE"""),"finish")</f>
        <v>finish</v>
      </c>
      <c r="J74" s="5" t="str">
        <f>IFERROR(__xludf.DUMMYFUNCTION("""COMPUTED_VALUE"""),"my")</f>
        <v>my</v>
      </c>
      <c r="K74" s="5" t="str">
        <f>IFERROR(__xludf.DUMMYFUNCTION("""COMPUTED_VALUE"""),"homework")</f>
        <v>homework</v>
      </c>
      <c r="L74" s="5" t="str">
        <f>IFERROR(__xludf.DUMMYFUNCTION("""COMPUTED_VALUE"""),"early.")</f>
        <v>early.</v>
      </c>
      <c r="M74" s="5"/>
      <c r="N74" s="5"/>
      <c r="O74" s="4"/>
      <c r="P74" s="4"/>
      <c r="Q74" s="3">
        <v>4.0</v>
      </c>
      <c r="R74" s="8">
        <v>1245.0</v>
      </c>
    </row>
    <row r="75" ht="19.5" customHeight="1">
      <c r="A75" s="8">
        <v>74.0</v>
      </c>
      <c r="B75" s="9" t="s">
        <v>11</v>
      </c>
      <c r="C75" s="9" t="s">
        <v>243</v>
      </c>
      <c r="D75" s="10" t="s">
        <v>308</v>
      </c>
      <c r="E75" s="10" t="s">
        <v>309</v>
      </c>
      <c r="F75" s="10" t="s">
        <v>310</v>
      </c>
      <c r="G75" s="10" t="s">
        <v>311</v>
      </c>
      <c r="H75" s="6" t="str">
        <f>IFERROR(__xludf.DUMMYFUNCTION("split(G75, "" "")"),"She")</f>
        <v>She</v>
      </c>
      <c r="I75" s="10" t="str">
        <f>IFERROR(__xludf.DUMMYFUNCTION("""COMPUTED_VALUE"""),"wants")</f>
        <v>wants</v>
      </c>
      <c r="J75" s="10" t="str">
        <f>IFERROR(__xludf.DUMMYFUNCTION("""COMPUTED_VALUE"""),"to")</f>
        <v>to</v>
      </c>
      <c r="K75" s="10" t="str">
        <f>IFERROR(__xludf.DUMMYFUNCTION("""COMPUTED_VALUE"""),"pass")</f>
        <v>pass</v>
      </c>
      <c r="L75" s="10" t="str">
        <f>IFERROR(__xludf.DUMMYFUNCTION("""COMPUTED_VALUE"""),"the")</f>
        <v>the</v>
      </c>
      <c r="M75" s="10" t="str">
        <f>IFERROR(__xludf.DUMMYFUNCTION("""COMPUTED_VALUE"""),"exam.")</f>
        <v>exam.</v>
      </c>
      <c r="N75" s="10"/>
      <c r="O75" s="9"/>
      <c r="P75" s="9"/>
      <c r="Q75" s="8">
        <v>4.0</v>
      </c>
      <c r="R75" s="8">
        <v>1246.0</v>
      </c>
    </row>
    <row r="76" ht="19.5" customHeight="1">
      <c r="A76" s="3">
        <v>75.0</v>
      </c>
      <c r="B76" s="4" t="s">
        <v>11</v>
      </c>
      <c r="C76" s="4" t="s">
        <v>243</v>
      </c>
      <c r="D76" s="5" t="s">
        <v>312</v>
      </c>
      <c r="E76" s="5" t="s">
        <v>313</v>
      </c>
      <c r="F76" s="5" t="s">
        <v>314</v>
      </c>
      <c r="G76" s="5" t="s">
        <v>315</v>
      </c>
      <c r="H76" s="6" t="str">
        <f>IFERROR(__xludf.DUMMYFUNCTION("split(G76, "" "")"),"I")</f>
        <v>I</v>
      </c>
      <c r="I76" s="5" t="str">
        <f>IFERROR(__xludf.DUMMYFUNCTION("""COMPUTED_VALUE"""),"do")</f>
        <v>do</v>
      </c>
      <c r="J76" s="5" t="str">
        <f>IFERROR(__xludf.DUMMYFUNCTION("""COMPUTED_VALUE"""),"not")</f>
        <v>not</v>
      </c>
      <c r="K76" s="5" t="str">
        <f>IFERROR(__xludf.DUMMYFUNCTION("""COMPUTED_VALUE"""),"want")</f>
        <v>want</v>
      </c>
      <c r="L76" s="5" t="str">
        <f>IFERROR(__xludf.DUMMYFUNCTION("""COMPUTED_VALUE"""),"to")</f>
        <v>to</v>
      </c>
      <c r="M76" s="5" t="str">
        <f>IFERROR(__xludf.DUMMYFUNCTION("""COMPUTED_VALUE"""),"fail.")</f>
        <v>fail.</v>
      </c>
      <c r="N76" s="5"/>
      <c r="O76" s="4"/>
      <c r="P76" s="4"/>
      <c r="Q76" s="3">
        <v>4.0</v>
      </c>
      <c r="R76" s="8">
        <v>1346.0</v>
      </c>
    </row>
    <row r="77" ht="19.5" customHeight="1">
      <c r="A77" s="8">
        <v>76.0</v>
      </c>
      <c r="B77" s="9" t="s">
        <v>11</v>
      </c>
      <c r="C77" s="9" t="s">
        <v>243</v>
      </c>
      <c r="D77" s="10" t="s">
        <v>316</v>
      </c>
      <c r="E77" s="10" t="s">
        <v>317</v>
      </c>
      <c r="F77" s="10" t="s">
        <v>318</v>
      </c>
      <c r="G77" s="10" t="s">
        <v>319</v>
      </c>
      <c r="H77" s="6" t="str">
        <f>IFERROR(__xludf.DUMMYFUNCTION("split(G77, "" "")"),"He")</f>
        <v>He</v>
      </c>
      <c r="I77" s="10" t="str">
        <f>IFERROR(__xludf.DUMMYFUNCTION("""COMPUTED_VALUE"""),"joins")</f>
        <v>joins</v>
      </c>
      <c r="J77" s="10" t="str">
        <f>IFERROR(__xludf.DUMMYFUNCTION("""COMPUTED_VALUE"""),"an")</f>
        <v>an</v>
      </c>
      <c r="K77" s="10" t="str">
        <f>IFERROR(__xludf.DUMMYFUNCTION("""COMPUTED_VALUE"""),"English")</f>
        <v>English</v>
      </c>
      <c r="L77" s="10" t="str">
        <f>IFERROR(__xludf.DUMMYFUNCTION("""COMPUTED_VALUE"""),"club.")</f>
        <v>club.</v>
      </c>
      <c r="M77" s="10"/>
      <c r="N77" s="10"/>
      <c r="O77" s="9"/>
      <c r="P77" s="9"/>
      <c r="Q77" s="8">
        <v>4.0</v>
      </c>
      <c r="R77" s="8">
        <v>1245.0</v>
      </c>
    </row>
    <row r="78" ht="19.5" customHeight="1">
      <c r="A78" s="3">
        <v>77.0</v>
      </c>
      <c r="B78" s="4" t="s">
        <v>11</v>
      </c>
      <c r="C78" s="4" t="s">
        <v>243</v>
      </c>
      <c r="D78" s="5" t="s">
        <v>320</v>
      </c>
      <c r="E78" s="5" t="s">
        <v>321</v>
      </c>
      <c r="F78" s="5" t="s">
        <v>322</v>
      </c>
      <c r="G78" s="5" t="s">
        <v>323</v>
      </c>
      <c r="H78" s="6" t="str">
        <f>IFERROR(__xludf.DUMMYFUNCTION("split(G78, "" "")"),"I")</f>
        <v>I</v>
      </c>
      <c r="I78" s="5" t="str">
        <f>IFERROR(__xludf.DUMMYFUNCTION("""COMPUTED_VALUE"""),"choose")</f>
        <v>choose</v>
      </c>
      <c r="J78" s="5" t="str">
        <f>IFERROR(__xludf.DUMMYFUNCTION("""COMPUTED_VALUE"""),"science")</f>
        <v>science</v>
      </c>
      <c r="K78" s="5" t="str">
        <f>IFERROR(__xludf.DUMMYFUNCTION("""COMPUTED_VALUE"""),"this")</f>
        <v>this</v>
      </c>
      <c r="L78" s="5" t="str">
        <f>IFERROR(__xludf.DUMMYFUNCTION("""COMPUTED_VALUE"""),"year.")</f>
        <v>year.</v>
      </c>
      <c r="M78" s="5"/>
      <c r="N78" s="5"/>
      <c r="O78" s="4"/>
      <c r="P78" s="4"/>
      <c r="Q78" s="3">
        <v>4.0</v>
      </c>
      <c r="R78" s="8">
        <v>1235.0</v>
      </c>
    </row>
    <row r="79" ht="19.5" customHeight="1">
      <c r="A79" s="8">
        <v>78.0</v>
      </c>
      <c r="B79" s="9" t="s">
        <v>11</v>
      </c>
      <c r="C79" s="9" t="s">
        <v>243</v>
      </c>
      <c r="D79" s="10" t="s">
        <v>324</v>
      </c>
      <c r="E79" s="10" t="s">
        <v>325</v>
      </c>
      <c r="F79" s="10" t="s">
        <v>326</v>
      </c>
      <c r="G79" s="10" t="s">
        <v>327</v>
      </c>
      <c r="H79" s="6" t="str">
        <f>IFERROR(__xludf.DUMMYFUNCTION("split(G79, "" "")"),"Please")</f>
        <v>Please</v>
      </c>
      <c r="I79" s="10" t="str">
        <f>IFERROR(__xludf.DUMMYFUNCTION("""COMPUTED_VALUE"""),"check")</f>
        <v>check</v>
      </c>
      <c r="J79" s="10" t="str">
        <f>IFERROR(__xludf.DUMMYFUNCTION("""COMPUTED_VALUE"""),"your")</f>
        <v>your</v>
      </c>
      <c r="K79" s="10" t="str">
        <f>IFERROR(__xludf.DUMMYFUNCTION("""COMPUTED_VALUE"""),"answer.")</f>
        <v>answer.</v>
      </c>
      <c r="L79" s="10"/>
      <c r="M79" s="10"/>
      <c r="N79" s="10"/>
      <c r="O79" s="9"/>
      <c r="P79" s="9"/>
      <c r="Q79" s="8">
        <v>3.0</v>
      </c>
      <c r="R79" s="8">
        <v>124.0</v>
      </c>
    </row>
    <row r="80" ht="19.5" customHeight="1">
      <c r="A80" s="3">
        <v>79.0</v>
      </c>
      <c r="B80" s="4" t="s">
        <v>11</v>
      </c>
      <c r="C80" s="4" t="s">
        <v>243</v>
      </c>
      <c r="D80" s="5" t="s">
        <v>328</v>
      </c>
      <c r="E80" s="5" t="s">
        <v>329</v>
      </c>
      <c r="F80" s="5" t="s">
        <v>330</v>
      </c>
      <c r="G80" s="5" t="s">
        <v>331</v>
      </c>
      <c r="H80" s="6" t="str">
        <f>IFERROR(__xludf.DUMMYFUNCTION("split(G80, "" "")"),"Do")</f>
        <v>Do</v>
      </c>
      <c r="I80" s="5" t="str">
        <f>IFERROR(__xludf.DUMMYFUNCTION("""COMPUTED_VALUE"""),"not")</f>
        <v>not</v>
      </c>
      <c r="J80" s="5" t="str">
        <f>IFERROR(__xludf.DUMMYFUNCTION("""COMPUTED_VALUE"""),"copy")</f>
        <v>copy</v>
      </c>
      <c r="K80" s="5" t="str">
        <f>IFERROR(__xludf.DUMMYFUNCTION("""COMPUTED_VALUE"""),"your")</f>
        <v>your</v>
      </c>
      <c r="L80" s="5" t="str">
        <f>IFERROR(__xludf.DUMMYFUNCTION("""COMPUTED_VALUE"""),"friend.")</f>
        <v>friend.</v>
      </c>
      <c r="M80" s="5"/>
      <c r="N80" s="5"/>
      <c r="O80" s="4"/>
      <c r="P80" s="4"/>
      <c r="Q80" s="3">
        <v>4.0</v>
      </c>
      <c r="R80" s="8">
        <v>1235.0</v>
      </c>
    </row>
    <row r="81" ht="19.5" customHeight="1">
      <c r="A81" s="8">
        <v>80.0</v>
      </c>
      <c r="B81" s="4" t="s">
        <v>11</v>
      </c>
      <c r="C81" s="4" t="s">
        <v>243</v>
      </c>
      <c r="D81" s="5" t="s">
        <v>332</v>
      </c>
      <c r="E81" s="5" t="s">
        <v>333</v>
      </c>
      <c r="F81" s="5" t="s">
        <v>334</v>
      </c>
      <c r="G81" s="5" t="s">
        <v>335</v>
      </c>
      <c r="H81" s="6" t="str">
        <f>IFERROR(__xludf.DUMMYFUNCTION("split(G81, "" "")"),"Can")</f>
        <v>Can</v>
      </c>
      <c r="I81" s="5" t="str">
        <f>IFERROR(__xludf.DUMMYFUNCTION("""COMPUTED_VALUE"""),"you")</f>
        <v>you</v>
      </c>
      <c r="J81" s="5" t="str">
        <f>IFERROR(__xludf.DUMMYFUNCTION("""COMPUTED_VALUE"""),"spell")</f>
        <v>spell</v>
      </c>
      <c r="K81" s="5" t="str">
        <f>IFERROR(__xludf.DUMMYFUNCTION("""COMPUTED_VALUE"""),"this")</f>
        <v>this</v>
      </c>
      <c r="L81" s="5" t="str">
        <f>IFERROR(__xludf.DUMMYFUNCTION("""COMPUTED_VALUE"""),"word?")</f>
        <v>word?</v>
      </c>
      <c r="M81" s="5"/>
      <c r="N81" s="5"/>
      <c r="O81" s="4"/>
      <c r="P81" s="4"/>
      <c r="Q81" s="3">
        <v>3.0</v>
      </c>
      <c r="R81" s="8">
        <v>135.0</v>
      </c>
    </row>
    <row r="82" ht="19.5" customHeight="1">
      <c r="A82" s="3">
        <v>81.0</v>
      </c>
      <c r="B82" s="9" t="s">
        <v>11</v>
      </c>
      <c r="C82" s="9" t="s">
        <v>336</v>
      </c>
      <c r="D82" s="10" t="s">
        <v>337</v>
      </c>
      <c r="E82" s="10" t="s">
        <v>338</v>
      </c>
      <c r="F82" s="10" t="s">
        <v>339</v>
      </c>
      <c r="G82" s="10" t="s">
        <v>340</v>
      </c>
      <c r="H82" s="6" t="str">
        <f>IFERROR(__xludf.DUMMYFUNCTION("split(G82, "" "")"),"This")</f>
        <v>This</v>
      </c>
      <c r="I82" s="10" t="str">
        <f>IFERROR(__xludf.DUMMYFUNCTION("""COMPUTED_VALUE"""),"lesson")</f>
        <v>lesson</v>
      </c>
      <c r="J82" s="10" t="str">
        <f>IFERROR(__xludf.DUMMYFUNCTION("""COMPUTED_VALUE"""),"is")</f>
        <v>is</v>
      </c>
      <c r="K82" s="10" t="str">
        <f>IFERROR(__xludf.DUMMYFUNCTION("""COMPUTED_VALUE"""),"easy.")</f>
        <v>easy.</v>
      </c>
      <c r="L82" s="10"/>
      <c r="M82" s="10"/>
      <c r="N82" s="10"/>
      <c r="O82" s="9"/>
      <c r="P82" s="9"/>
      <c r="Q82" s="8">
        <v>3.0</v>
      </c>
      <c r="R82" s="8">
        <v>124.0</v>
      </c>
    </row>
    <row r="83" ht="19.5" customHeight="1">
      <c r="A83" s="8">
        <v>82.0</v>
      </c>
      <c r="B83" s="4" t="s">
        <v>11</v>
      </c>
      <c r="C83" s="4" t="s">
        <v>336</v>
      </c>
      <c r="D83" s="5" t="s">
        <v>341</v>
      </c>
      <c r="E83" s="5" t="s">
        <v>342</v>
      </c>
      <c r="F83" s="5" t="s">
        <v>343</v>
      </c>
      <c r="G83" s="5" t="s">
        <v>344</v>
      </c>
      <c r="H83" s="6" t="str">
        <f>IFERROR(__xludf.DUMMYFUNCTION("split(G83, "" "")"),"The")</f>
        <v>The</v>
      </c>
      <c r="I83" s="5" t="str">
        <f>IFERROR(__xludf.DUMMYFUNCTION("""COMPUTED_VALUE"""),"exam")</f>
        <v>exam</v>
      </c>
      <c r="J83" s="5" t="str">
        <f>IFERROR(__xludf.DUMMYFUNCTION("""COMPUTED_VALUE"""),"is")</f>
        <v>is</v>
      </c>
      <c r="K83" s="5" t="str">
        <f>IFERROR(__xludf.DUMMYFUNCTION("""COMPUTED_VALUE"""),"difficult.")</f>
        <v>difficult.</v>
      </c>
      <c r="L83" s="5"/>
      <c r="M83" s="5"/>
      <c r="N83" s="5"/>
      <c r="O83" s="4"/>
      <c r="P83" s="4"/>
      <c r="Q83" s="3">
        <v>3.0</v>
      </c>
      <c r="R83" s="8">
        <v>124.0</v>
      </c>
    </row>
    <row r="84" ht="19.5" customHeight="1">
      <c r="A84" s="3">
        <v>83.0</v>
      </c>
      <c r="B84" s="9" t="s">
        <v>11</v>
      </c>
      <c r="C84" s="9" t="s">
        <v>336</v>
      </c>
      <c r="D84" s="10" t="s">
        <v>345</v>
      </c>
      <c r="E84" s="10" t="s">
        <v>346</v>
      </c>
      <c r="F84" s="10" t="s">
        <v>347</v>
      </c>
      <c r="G84" s="10" t="s">
        <v>348</v>
      </c>
      <c r="H84" s="6" t="str">
        <f>IFERROR(__xludf.DUMMYFUNCTION("split(G84, "" "")"),"Education")</f>
        <v>Education</v>
      </c>
      <c r="I84" s="10" t="str">
        <f>IFERROR(__xludf.DUMMYFUNCTION("""COMPUTED_VALUE"""),"is")</f>
        <v>is</v>
      </c>
      <c r="J84" s="10" t="str">
        <f>IFERROR(__xludf.DUMMYFUNCTION("""COMPUTED_VALUE"""),"important.")</f>
        <v>important.</v>
      </c>
      <c r="K84" s="10"/>
      <c r="L84" s="10"/>
      <c r="M84" s="10"/>
      <c r="N84" s="10"/>
      <c r="O84" s="9"/>
      <c r="P84" s="9"/>
      <c r="Q84" s="8">
        <v>2.0</v>
      </c>
      <c r="R84" s="8">
        <v>13.0</v>
      </c>
    </row>
    <row r="85" ht="19.5" customHeight="1">
      <c r="A85" s="8">
        <v>84.0</v>
      </c>
      <c r="B85" s="4" t="s">
        <v>11</v>
      </c>
      <c r="C85" s="4" t="s">
        <v>336</v>
      </c>
      <c r="D85" s="5" t="s">
        <v>349</v>
      </c>
      <c r="E85" s="5" t="s">
        <v>350</v>
      </c>
      <c r="F85" s="5" t="s">
        <v>351</v>
      </c>
      <c r="G85" s="5" t="s">
        <v>352</v>
      </c>
      <c r="H85" s="6" t="str">
        <f>IFERROR(__xludf.DUMMYFUNCTION("split(G85, "" "")"),"This")</f>
        <v>This</v>
      </c>
      <c r="I85" s="5" t="str">
        <f>IFERROR(__xludf.DUMMYFUNCTION("""COMPUTED_VALUE"""),"book")</f>
        <v>book</v>
      </c>
      <c r="J85" s="5" t="str">
        <f>IFERROR(__xludf.DUMMYFUNCTION("""COMPUTED_VALUE"""),"is")</f>
        <v>is</v>
      </c>
      <c r="K85" s="5" t="str">
        <f>IFERROR(__xludf.DUMMYFUNCTION("""COMPUTED_VALUE"""),"useful.")</f>
        <v>useful.</v>
      </c>
      <c r="L85" s="5"/>
      <c r="M85" s="5"/>
      <c r="N85" s="5"/>
      <c r="O85" s="4"/>
      <c r="P85" s="4"/>
      <c r="Q85" s="3">
        <v>3.0</v>
      </c>
      <c r="R85" s="8">
        <v>124.0</v>
      </c>
    </row>
    <row r="86" ht="19.5" customHeight="1">
      <c r="A86" s="3">
        <v>85.0</v>
      </c>
      <c r="B86" s="9" t="s">
        <v>11</v>
      </c>
      <c r="C86" s="9" t="s">
        <v>336</v>
      </c>
      <c r="D86" s="10" t="s">
        <v>353</v>
      </c>
      <c r="E86" s="10" t="s">
        <v>354</v>
      </c>
      <c r="F86" s="10" t="s">
        <v>355</v>
      </c>
      <c r="G86" s="10" t="s">
        <v>356</v>
      </c>
      <c r="H86" s="6" t="str">
        <f>IFERROR(__xludf.DUMMYFUNCTION("split(G86, "" "")"),"The")</f>
        <v>The</v>
      </c>
      <c r="I86" s="10" t="str">
        <f>IFERROR(__xludf.DUMMYFUNCTION("""COMPUTED_VALUE"""),"lesson")</f>
        <v>lesson</v>
      </c>
      <c r="J86" s="10" t="str">
        <f>IFERROR(__xludf.DUMMYFUNCTION("""COMPUTED_VALUE"""),"is")</f>
        <v>is</v>
      </c>
      <c r="K86" s="10" t="str">
        <f>IFERROR(__xludf.DUMMYFUNCTION("""COMPUTED_VALUE"""),"boring")</f>
        <v>boring</v>
      </c>
      <c r="L86" s="10" t="str">
        <f>IFERROR(__xludf.DUMMYFUNCTION("""COMPUTED_VALUE"""),"today.")</f>
        <v>today.</v>
      </c>
      <c r="M86" s="10"/>
      <c r="N86" s="10"/>
      <c r="O86" s="9"/>
      <c r="P86" s="9"/>
      <c r="Q86" s="8">
        <v>4.0</v>
      </c>
      <c r="R86" s="8">
        <v>1245.0</v>
      </c>
    </row>
    <row r="87" ht="19.5" customHeight="1">
      <c r="A87" s="8">
        <v>86.0</v>
      </c>
      <c r="B87" s="4" t="s">
        <v>11</v>
      </c>
      <c r="C87" s="4" t="s">
        <v>336</v>
      </c>
      <c r="D87" s="5" t="s">
        <v>357</v>
      </c>
      <c r="E87" s="5" t="s">
        <v>358</v>
      </c>
      <c r="F87" s="5" t="s">
        <v>359</v>
      </c>
      <c r="G87" s="5" t="s">
        <v>360</v>
      </c>
      <c r="H87" s="6" t="str">
        <f>IFERROR(__xludf.DUMMYFUNCTION("split(G87, "" "")"),"Science")</f>
        <v>Science</v>
      </c>
      <c r="I87" s="5" t="str">
        <f>IFERROR(__xludf.DUMMYFUNCTION("""COMPUTED_VALUE"""),"is")</f>
        <v>is</v>
      </c>
      <c r="J87" s="5" t="str">
        <f>IFERROR(__xludf.DUMMYFUNCTION("""COMPUTED_VALUE"""),"very")</f>
        <v>very</v>
      </c>
      <c r="K87" s="5" t="str">
        <f>IFERROR(__xludf.DUMMYFUNCTION("""COMPUTED_VALUE"""),"interesting.")</f>
        <v>interesting.</v>
      </c>
      <c r="L87" s="5"/>
      <c r="M87" s="5"/>
      <c r="N87" s="5"/>
      <c r="O87" s="4"/>
      <c r="P87" s="4"/>
      <c r="Q87" s="3">
        <v>2.0</v>
      </c>
      <c r="R87" s="8">
        <v>14.0</v>
      </c>
    </row>
    <row r="88" ht="19.5" customHeight="1">
      <c r="A88" s="3">
        <v>87.0</v>
      </c>
      <c r="B88" s="9" t="s">
        <v>11</v>
      </c>
      <c r="C88" s="9" t="s">
        <v>336</v>
      </c>
      <c r="D88" s="10" t="s">
        <v>361</v>
      </c>
      <c r="E88" s="10" t="s">
        <v>362</v>
      </c>
      <c r="F88" s="10" t="s">
        <v>363</v>
      </c>
      <c r="G88" s="10" t="s">
        <v>364</v>
      </c>
      <c r="H88" s="6" t="str">
        <f>IFERROR(__xludf.DUMMYFUNCTION("split(G88, "" "")"),"The")</f>
        <v>The</v>
      </c>
      <c r="I88" s="10" t="str">
        <f>IFERROR(__xludf.DUMMYFUNCTION("""COMPUTED_VALUE"""),"library")</f>
        <v>library</v>
      </c>
      <c r="J88" s="10" t="str">
        <f>IFERROR(__xludf.DUMMYFUNCTION("""COMPUTED_VALUE"""),"is")</f>
        <v>is</v>
      </c>
      <c r="K88" s="10" t="str">
        <f>IFERROR(__xludf.DUMMYFUNCTION("""COMPUTED_VALUE"""),"quiet.")</f>
        <v>quiet.</v>
      </c>
      <c r="L88" s="10"/>
      <c r="M88" s="10"/>
      <c r="N88" s="10"/>
      <c r="O88" s="9"/>
      <c r="P88" s="9"/>
      <c r="Q88" s="8">
        <v>3.0</v>
      </c>
      <c r="R88" s="8">
        <v>124.0</v>
      </c>
    </row>
    <row r="89" ht="19.5" customHeight="1">
      <c r="A89" s="8">
        <v>88.0</v>
      </c>
      <c r="B89" s="4" t="s">
        <v>11</v>
      </c>
      <c r="C89" s="4" t="s">
        <v>336</v>
      </c>
      <c r="D89" s="5" t="s">
        <v>365</v>
      </c>
      <c r="E89" s="5" t="s">
        <v>366</v>
      </c>
      <c r="F89" s="5" t="s">
        <v>367</v>
      </c>
      <c r="G89" s="5" t="s">
        <v>368</v>
      </c>
      <c r="H89" s="6" t="str">
        <f>IFERROR(__xludf.DUMMYFUNCTION("split(G89, "" "")"),"The")</f>
        <v>The</v>
      </c>
      <c r="I89" s="5" t="str">
        <f>IFERROR(__xludf.DUMMYFUNCTION("""COMPUTED_VALUE"""),"teacher")</f>
        <v>teacher</v>
      </c>
      <c r="J89" s="5" t="str">
        <f>IFERROR(__xludf.DUMMYFUNCTION("""COMPUTED_VALUE"""),"is")</f>
        <v>is</v>
      </c>
      <c r="K89" s="5" t="str">
        <f>IFERROR(__xludf.DUMMYFUNCTION("""COMPUTED_VALUE"""),"busy.")</f>
        <v>busy.</v>
      </c>
      <c r="L89" s="5"/>
      <c r="M89" s="5"/>
      <c r="N89" s="5"/>
      <c r="O89" s="4"/>
      <c r="P89" s="4"/>
      <c r="Q89" s="3">
        <v>3.0</v>
      </c>
      <c r="R89" s="8">
        <v>124.0</v>
      </c>
    </row>
    <row r="90" ht="19.5" customHeight="1">
      <c r="A90" s="3">
        <v>89.0</v>
      </c>
      <c r="B90" s="9" t="s">
        <v>11</v>
      </c>
      <c r="C90" s="9" t="s">
        <v>336</v>
      </c>
      <c r="D90" s="10" t="s">
        <v>369</v>
      </c>
      <c r="E90" s="10" t="s">
        <v>370</v>
      </c>
      <c r="F90" s="10" t="s">
        <v>371</v>
      </c>
      <c r="G90" s="10" t="s">
        <v>372</v>
      </c>
      <c r="H90" s="6" t="str">
        <f>IFERROR(__xludf.DUMMYFUNCTION("split(G90, "" "")"),"I")</f>
        <v>I</v>
      </c>
      <c r="I90" s="10" t="str">
        <f>IFERROR(__xludf.DUMMYFUNCTION("""COMPUTED_VALUE"""),"am")</f>
        <v>am</v>
      </c>
      <c r="J90" s="10" t="str">
        <f>IFERROR(__xludf.DUMMYFUNCTION("""COMPUTED_VALUE"""),"late")</f>
        <v>late</v>
      </c>
      <c r="K90" s="10" t="str">
        <f>IFERROR(__xludf.DUMMYFUNCTION("""COMPUTED_VALUE"""),"for")</f>
        <v>for</v>
      </c>
      <c r="L90" s="10" t="str">
        <f>IFERROR(__xludf.DUMMYFUNCTION("""COMPUTED_VALUE"""),"class.")</f>
        <v>class.</v>
      </c>
      <c r="M90" s="10"/>
      <c r="N90" s="10"/>
      <c r="O90" s="9"/>
      <c r="P90" s="9"/>
      <c r="Q90" s="8">
        <v>3.0</v>
      </c>
      <c r="R90" s="8">
        <v>135.0</v>
      </c>
    </row>
    <row r="91" ht="19.5" customHeight="1">
      <c r="A91" s="8">
        <v>90.0</v>
      </c>
      <c r="B91" s="4" t="s">
        <v>11</v>
      </c>
      <c r="C91" s="4" t="s">
        <v>336</v>
      </c>
      <c r="D91" s="5" t="s">
        <v>373</v>
      </c>
      <c r="E91" s="5" t="s">
        <v>374</v>
      </c>
      <c r="F91" s="5" t="s">
        <v>375</v>
      </c>
      <c r="G91" s="5" t="s">
        <v>376</v>
      </c>
      <c r="H91" s="6" t="str">
        <f>IFERROR(__xludf.DUMMYFUNCTION("split(G91, "" "")"),"She")</f>
        <v>She</v>
      </c>
      <c r="I91" s="5" t="str">
        <f>IFERROR(__xludf.DUMMYFUNCTION("""COMPUTED_VALUE"""),"comes")</f>
        <v>comes</v>
      </c>
      <c r="J91" s="5" t="str">
        <f>IFERROR(__xludf.DUMMYFUNCTION("""COMPUTED_VALUE"""),"to")</f>
        <v>to</v>
      </c>
      <c r="K91" s="5" t="str">
        <f>IFERROR(__xludf.DUMMYFUNCTION("""COMPUTED_VALUE"""),"school")</f>
        <v>school</v>
      </c>
      <c r="L91" s="5" t="str">
        <f>IFERROR(__xludf.DUMMYFUNCTION("""COMPUTED_VALUE"""),"early.")</f>
        <v>early.</v>
      </c>
      <c r="M91" s="5"/>
      <c r="N91" s="5"/>
      <c r="O91" s="4"/>
      <c r="P91" s="4"/>
      <c r="Q91" s="3">
        <v>4.0</v>
      </c>
      <c r="R91" s="8">
        <v>1245.0</v>
      </c>
    </row>
    <row r="92" ht="19.5" customHeight="1">
      <c r="A92" s="3">
        <v>91.0</v>
      </c>
      <c r="B92" s="9" t="s">
        <v>11</v>
      </c>
      <c r="C92" s="9" t="s">
        <v>336</v>
      </c>
      <c r="D92" s="10" t="s">
        <v>377</v>
      </c>
      <c r="E92" s="10" t="s">
        <v>378</v>
      </c>
      <c r="F92" s="10" t="s">
        <v>379</v>
      </c>
      <c r="G92" s="10" t="s">
        <v>380</v>
      </c>
      <c r="H92" s="6" t="str">
        <f>IFERROR(__xludf.DUMMYFUNCTION("split(G92, "" "")"),"We")</f>
        <v>We</v>
      </c>
      <c r="I92" s="10" t="str">
        <f>IFERROR(__xludf.DUMMYFUNCTION("""COMPUTED_VALUE"""),"have")</f>
        <v>have</v>
      </c>
      <c r="J92" s="10" t="str">
        <f>IFERROR(__xludf.DUMMYFUNCTION("""COMPUTED_VALUE"""),"an")</f>
        <v>an</v>
      </c>
      <c r="K92" s="10" t="str">
        <f>IFERROR(__xludf.DUMMYFUNCTION("""COMPUTED_VALUE"""),"online")</f>
        <v>online</v>
      </c>
      <c r="L92" s="10" t="str">
        <f>IFERROR(__xludf.DUMMYFUNCTION("""COMPUTED_VALUE"""),"class.")</f>
        <v>class.</v>
      </c>
      <c r="M92" s="10"/>
      <c r="N92" s="10"/>
      <c r="O92" s="9"/>
      <c r="P92" s="9"/>
      <c r="Q92" s="8">
        <v>3.0</v>
      </c>
      <c r="R92" s="8">
        <v>145.0</v>
      </c>
    </row>
    <row r="93" ht="19.5" customHeight="1">
      <c r="A93" s="8">
        <v>92.0</v>
      </c>
      <c r="B93" s="4" t="s">
        <v>11</v>
      </c>
      <c r="C93" s="4" t="s">
        <v>336</v>
      </c>
      <c r="D93" s="5" t="s">
        <v>381</v>
      </c>
      <c r="E93" s="5" t="s">
        <v>382</v>
      </c>
      <c r="F93" s="5" t="s">
        <v>383</v>
      </c>
      <c r="G93" s="5" t="s">
        <v>384</v>
      </c>
      <c r="H93" s="6" t="str">
        <f>IFERROR(__xludf.DUMMYFUNCTION("split(G93, "" "")"),"He")</f>
        <v>He</v>
      </c>
      <c r="I93" s="5" t="str">
        <f>IFERROR(__xludf.DUMMYFUNCTION("""COMPUTED_VALUE"""),"goes")</f>
        <v>goes</v>
      </c>
      <c r="J93" s="5" t="str">
        <f>IFERROR(__xludf.DUMMYFUNCTION("""COMPUTED_VALUE"""),"to")</f>
        <v>to</v>
      </c>
      <c r="K93" s="5" t="str">
        <f>IFERROR(__xludf.DUMMYFUNCTION("""COMPUTED_VALUE"""),"a")</f>
        <v>a</v>
      </c>
      <c r="L93" s="5" t="str">
        <f>IFERROR(__xludf.DUMMYFUNCTION("""COMPUTED_VALUE"""),"private")</f>
        <v>private</v>
      </c>
      <c r="M93" s="5" t="str">
        <f>IFERROR(__xludf.DUMMYFUNCTION("""COMPUTED_VALUE"""),"school.")</f>
        <v>school.</v>
      </c>
      <c r="N93" s="5"/>
      <c r="O93" s="4"/>
      <c r="P93" s="4"/>
      <c r="Q93" s="3">
        <v>4.0</v>
      </c>
      <c r="R93" s="8">
        <v>1256.0</v>
      </c>
    </row>
    <row r="94" ht="19.5" customHeight="1">
      <c r="A94" s="3">
        <v>93.0</v>
      </c>
      <c r="B94" s="9" t="s">
        <v>11</v>
      </c>
      <c r="C94" s="9" t="s">
        <v>336</v>
      </c>
      <c r="D94" s="10" t="s">
        <v>385</v>
      </c>
      <c r="E94" s="10" t="s">
        <v>386</v>
      </c>
      <c r="F94" s="10" t="s">
        <v>387</v>
      </c>
      <c r="G94" s="10" t="s">
        <v>388</v>
      </c>
      <c r="H94" s="6" t="str">
        <f>IFERROR(__xludf.DUMMYFUNCTION("split(G94, "" "")"),"My")</f>
        <v>My</v>
      </c>
      <c r="I94" s="10" t="str">
        <f>IFERROR(__xludf.DUMMYFUNCTION("""COMPUTED_VALUE"""),"sister")</f>
        <v>sister</v>
      </c>
      <c r="J94" s="10" t="str">
        <f>IFERROR(__xludf.DUMMYFUNCTION("""COMPUTED_VALUE"""),"studies")</f>
        <v>studies</v>
      </c>
      <c r="K94" s="10" t="str">
        <f>IFERROR(__xludf.DUMMYFUNCTION("""COMPUTED_VALUE"""),"at")</f>
        <v>at</v>
      </c>
      <c r="L94" s="10" t="str">
        <f>IFERROR(__xludf.DUMMYFUNCTION("""COMPUTED_VALUE"""),"a")</f>
        <v>a</v>
      </c>
      <c r="M94" s="10" t="str">
        <f>IFERROR(__xludf.DUMMYFUNCTION("""COMPUTED_VALUE"""),"public")</f>
        <v>public</v>
      </c>
      <c r="N94" s="10" t="str">
        <f>IFERROR(__xludf.DUMMYFUNCTION("""COMPUTED_VALUE"""),"school.")</f>
        <v>school.</v>
      </c>
      <c r="O94" s="9"/>
      <c r="P94" s="9"/>
      <c r="Q94" s="8">
        <v>5.0</v>
      </c>
      <c r="R94" s="8">
        <v>12367.0</v>
      </c>
    </row>
    <row r="95" ht="19.5" customHeight="1">
      <c r="A95" s="8">
        <v>94.0</v>
      </c>
      <c r="B95" s="4" t="s">
        <v>11</v>
      </c>
      <c r="C95" s="4" t="s">
        <v>336</v>
      </c>
      <c r="D95" s="5" t="s">
        <v>389</v>
      </c>
      <c r="E95" s="5" t="s">
        <v>390</v>
      </c>
      <c r="F95" s="5" t="s">
        <v>391</v>
      </c>
      <c r="G95" s="5" t="s">
        <v>392</v>
      </c>
      <c r="H95" s="6" t="str">
        <f>IFERROR(__xludf.DUMMYFUNCTION("split(G95, "" "")"),"The")</f>
        <v>The</v>
      </c>
      <c r="I95" s="5" t="str">
        <f>IFERROR(__xludf.DUMMYFUNCTION("""COMPUTED_VALUE"""),"school")</f>
        <v>school</v>
      </c>
      <c r="J95" s="5" t="str">
        <f>IFERROR(__xludf.DUMMYFUNCTION("""COMPUTED_VALUE"""),"gives")</f>
        <v>gives</v>
      </c>
      <c r="K95" s="5" t="str">
        <f>IFERROR(__xludf.DUMMYFUNCTION("""COMPUTED_VALUE"""),"free")</f>
        <v>free</v>
      </c>
      <c r="L95" s="5" t="str">
        <f>IFERROR(__xludf.DUMMYFUNCTION("""COMPUTED_VALUE"""),"books.")</f>
        <v>books.</v>
      </c>
      <c r="M95" s="5"/>
      <c r="N95" s="5"/>
      <c r="O95" s="4"/>
      <c r="P95" s="4"/>
      <c r="Q95" s="3">
        <v>5.0</v>
      </c>
      <c r="R95" s="8">
        <v>12345.0</v>
      </c>
    </row>
    <row r="96" ht="19.5" customHeight="1">
      <c r="A96" s="3">
        <v>95.0</v>
      </c>
      <c r="B96" s="9" t="s">
        <v>11</v>
      </c>
      <c r="C96" s="9" t="s">
        <v>336</v>
      </c>
      <c r="D96" s="10" t="s">
        <v>393</v>
      </c>
      <c r="E96" s="10" t="s">
        <v>394</v>
      </c>
      <c r="F96" s="10" t="s">
        <v>395</v>
      </c>
      <c r="G96" s="10" t="s">
        <v>396</v>
      </c>
      <c r="H96" s="6" t="str">
        <f>IFERROR(__xludf.DUMMYFUNCTION("split(G96, "" "")"),"I")</f>
        <v>I</v>
      </c>
      <c r="I96" s="10" t="str">
        <f>IFERROR(__xludf.DUMMYFUNCTION("""COMPUTED_VALUE"""),"am")</f>
        <v>am</v>
      </c>
      <c r="J96" s="10" t="str">
        <f>IFERROR(__xludf.DUMMYFUNCTION("""COMPUTED_VALUE"""),"ready")</f>
        <v>ready</v>
      </c>
      <c r="K96" s="10" t="str">
        <f>IFERROR(__xludf.DUMMYFUNCTION("""COMPUTED_VALUE"""),"for")</f>
        <v>for</v>
      </c>
      <c r="L96" s="10" t="str">
        <f>IFERROR(__xludf.DUMMYFUNCTION("""COMPUTED_VALUE"""),"the")</f>
        <v>the</v>
      </c>
      <c r="M96" s="10" t="str">
        <f>IFERROR(__xludf.DUMMYFUNCTION("""COMPUTED_VALUE"""),"test.")</f>
        <v>test.</v>
      </c>
      <c r="N96" s="10"/>
      <c r="O96" s="9"/>
      <c r="P96" s="9"/>
      <c r="Q96" s="8">
        <v>3.0</v>
      </c>
      <c r="R96" s="8">
        <v>136.0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2026-07-02T08:50:45Z</dcterms:created>
  <dc:creator>openpyxl</dc:creator>
</cp:coreProperties>
</file>