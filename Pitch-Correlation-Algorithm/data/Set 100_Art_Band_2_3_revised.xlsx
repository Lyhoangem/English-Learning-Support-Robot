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Art Band 2-3" sheetId="1" r:id="rId4"/>
  </sheets>
  <definedNames/>
  <calcPr/>
  <extLst>
    <ext uri="GoogleSheetsCustomDataVersion2">
      <go:sheetsCustomData xmlns:go="http://customooxmlschemas.google.com/" r:id="rId5" roundtripDataChecksum="2RRq/EN2RkZ3EKroDVYrNctmfCUfv9HfedvsvDfAgyg="/>
    </ext>
  </extLst>
</workbook>
</file>

<file path=xl/sharedStrings.xml><?xml version="1.0" encoding="utf-8"?>
<sst xmlns="http://schemas.openxmlformats.org/spreadsheetml/2006/main" count="545" uniqueCount="371">
  <si>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</si>
  <si>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</si>
  <si>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</si>
  <si>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</si>
  <si>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</si>
  <si>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</si>
  <si>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</si>
  <si>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</si>
  <si>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</si>
  <si>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</si>
  <si>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</si>
  <si>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</si>
  <si>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Hình thức</t>
  </si>
  <si>
    <t>Art (n)</t>
  </si>
  <si>
    <t>/ɑːt/</t>
  </si>
  <si>
    <t>Nghệ thuật</t>
  </si>
  <si>
    <t>Art makes life beautiful.</t>
  </si>
  <si>
    <t>Painting (n)</t>
  </si>
  <si>
    <t>/ˈpeɪn.tɪŋ/</t>
  </si>
  <si>
    <t>Bức tranh</t>
  </si>
  <si>
    <t>The painting is colorful.</t>
  </si>
  <si>
    <t>Drawing (n)</t>
  </si>
  <si>
    <t>/ˈdrɔː.ɪŋ/</t>
  </si>
  <si>
    <t>Bản vẽ</t>
  </si>
  <si>
    <t>Her drawing is very nice.</t>
  </si>
  <si>
    <t>Music (n)</t>
  </si>
  <si>
    <t>/ˈmjuː.zɪk/</t>
  </si>
  <si>
    <t>Âm nhạc</t>
  </si>
  <si>
    <t>Music makes me happy.</t>
  </si>
  <si>
    <t>Dance (n)</t>
  </si>
  <si>
    <t>/dɑːns/</t>
  </si>
  <si>
    <t>Điệu nhảy</t>
  </si>
  <si>
    <t>The dance is beautiful.</t>
  </si>
  <si>
    <t>Film (n)</t>
  </si>
  <si>
    <t>/fɪlm/</t>
  </si>
  <si>
    <t>Phim</t>
  </si>
  <si>
    <t>The film is very funny.</t>
  </si>
  <si>
    <t>Photo (n)</t>
  </si>
  <si>
    <t>/ˈfəʊ.təʊ/</t>
  </si>
  <si>
    <t>Ảnh</t>
  </si>
  <si>
    <t>This photo is clear.</t>
  </si>
  <si>
    <t>Picture (n)</t>
  </si>
  <si>
    <t>/ˈpɪk.tʃər/</t>
  </si>
  <si>
    <t>Bức tranh / Hình ảnh</t>
  </si>
  <si>
    <t>I like this picture.</t>
  </si>
  <si>
    <t>Poem (n)</t>
  </si>
  <si>
    <t>/ˈpəʊ.ɪm/</t>
  </si>
  <si>
    <t>Bài thơ</t>
  </si>
  <si>
    <t>The poem is short.</t>
  </si>
  <si>
    <t>Novel (n)</t>
  </si>
  <si>
    <t>/ˈnɒv.əl/</t>
  </si>
  <si>
    <t>Tiểu thuyết</t>
  </si>
  <si>
    <t>This novel is interesting.</t>
  </si>
  <si>
    <t>Drama (n)</t>
  </si>
  <si>
    <t>/ˈdrɑː.mə/</t>
  </si>
  <si>
    <t>Kịch</t>
  </si>
  <si>
    <t>The drama starts tonight.</t>
  </si>
  <si>
    <t>Museum (n)</t>
  </si>
  <si>
    <t>/mjuːˈziː.əm/</t>
  </si>
  <si>
    <t>Bảo tàng</t>
  </si>
  <si>
    <t>The museum has old art.</t>
  </si>
  <si>
    <t>Gallery (n)</t>
  </si>
  <si>
    <t>/ˈɡæl.ər.i/</t>
  </si>
  <si>
    <t>Phòng tranh</t>
  </si>
  <si>
    <t>The gallery is open today.</t>
  </si>
  <si>
    <t>Concert (n)</t>
  </si>
  <si>
    <t>/ˈkɒn.sət/</t>
  </si>
  <si>
    <t>Buổi hòa nhạc</t>
  </si>
  <si>
    <t>The concert is loud.</t>
  </si>
  <si>
    <t>Sculpture (n)</t>
  </si>
  <si>
    <t>/ˈskʌlp.tʃər/</t>
  </si>
  <si>
    <t>Tượng điêu khắc</t>
  </si>
  <si>
    <t>The sculpture is made of stone.</t>
  </si>
  <si>
    <t>Performance (n)</t>
  </si>
  <si>
    <t>/pəˈfɔː.məns/</t>
  </si>
  <si>
    <t>Màn trình diễn</t>
  </si>
  <si>
    <t>The performance is great.</t>
  </si>
  <si>
    <t>Con người</t>
  </si>
  <si>
    <t>Artist (n)</t>
  </si>
  <si>
    <t>/ˈɑː.tɪst/</t>
  </si>
  <si>
    <t>Nghệ sĩ</t>
  </si>
  <si>
    <t>The artist paints flowers.</t>
  </si>
  <si>
    <t>Painter (n)</t>
  </si>
  <si>
    <t>/ˈpeɪn.tər/</t>
  </si>
  <si>
    <t>Họa sĩ</t>
  </si>
  <si>
    <t>The painter uses bright colors.</t>
  </si>
  <si>
    <t>Singer (n)</t>
  </si>
  <si>
    <t>/ˈsɪŋ.ər/</t>
  </si>
  <si>
    <t>Ca sĩ</t>
  </si>
  <si>
    <t>The singer has a sweet voice.</t>
  </si>
  <si>
    <t>Dancer (n)</t>
  </si>
  <si>
    <t>/ˈdɑːn.sər/</t>
  </si>
  <si>
    <t>Vũ công</t>
  </si>
  <si>
    <t>The dancer moves beautifully.</t>
  </si>
  <si>
    <t>Actor (n)</t>
  </si>
  <si>
    <t>/ˈæk.tər/</t>
  </si>
  <si>
    <t>Nam diễn viên</t>
  </si>
  <si>
    <t>The actor is famous.</t>
  </si>
  <si>
    <t>Actress (n)</t>
  </si>
  <si>
    <t>/ˈæk.trəs/</t>
  </si>
  <si>
    <t>Nữ diễn viên</t>
  </si>
  <si>
    <t>The actress smiles on stage.</t>
  </si>
  <si>
    <t>Writer (n)</t>
  </si>
  <si>
    <t>/ˈraɪ.tər/</t>
  </si>
  <si>
    <t>Nhà văn</t>
  </si>
  <si>
    <t>The writer writes stories.</t>
  </si>
  <si>
    <t>Poet (n)</t>
  </si>
  <si>
    <t>/ˈpəʊ.ɪt/</t>
  </si>
  <si>
    <t>Nhà thơ</t>
  </si>
  <si>
    <t>The poet writes a short poem.</t>
  </si>
  <si>
    <t>Musician (n)</t>
  </si>
  <si>
    <t>/mjuːˈzɪʃ.ən/</t>
  </si>
  <si>
    <t>Nhạc sĩ</t>
  </si>
  <si>
    <t>The musician plays the piano.</t>
  </si>
  <si>
    <t>Photographer (n)</t>
  </si>
  <si>
    <t>/fəˈtɒɡ.rə.fər/</t>
  </si>
  <si>
    <t>Nhiếp ảnh gia</t>
  </si>
  <si>
    <t>The photographer takes photos.</t>
  </si>
  <si>
    <t>Designer (n)</t>
  </si>
  <si>
    <t>/dɪˈzaɪ.nər/</t>
  </si>
  <si>
    <t>Nhà thiết kế</t>
  </si>
  <si>
    <t>The designer makes a new dress.</t>
  </si>
  <si>
    <t>Audience (n)</t>
  </si>
  <si>
    <t>/ˈɔː.di.əns/</t>
  </si>
  <si>
    <t>Khán giả</t>
  </si>
  <si>
    <t>The audience claps loudly.</t>
  </si>
  <si>
    <t>Fan (n)</t>
  </si>
  <si>
    <t>/fæn/</t>
  </si>
  <si>
    <t>Người hâm mộ</t>
  </si>
  <si>
    <t>The fan likes the singer.</t>
  </si>
  <si>
    <t>Teacher (n)</t>
  </si>
  <si>
    <t>/ˈtiː.tʃər/</t>
  </si>
  <si>
    <t>Giáo viên</t>
  </si>
  <si>
    <t>The teacher teaches art.</t>
  </si>
  <si>
    <t>Student (n)</t>
  </si>
  <si>
    <t>/ˈstjuː.dənt/</t>
  </si>
  <si>
    <t>Học sinh / Sinh viên</t>
  </si>
  <si>
    <t>The student draws a house.</t>
  </si>
  <si>
    <t>Band (n)</t>
  </si>
  <si>
    <t>/bænd/</t>
  </si>
  <si>
    <t>Ban nhạc</t>
  </si>
  <si>
    <t>The band plays a new song.</t>
  </si>
  <si>
    <t>Team (n)</t>
  </si>
  <si>
    <t>/tiːm/</t>
  </si>
  <si>
    <t>Đội / Nhóm</t>
  </si>
  <si>
    <t>The film team works hard.</t>
  </si>
  <si>
    <t>Star (n)</t>
  </si>
  <si>
    <t>/stɑːr/</t>
  </si>
  <si>
    <t>Ngôi sao</t>
  </si>
  <si>
    <t>The star acts very well.</t>
  </si>
  <si>
    <t>Visitor (n)</t>
  </si>
  <si>
    <t>/ˈvɪz.ɪ.tər/</t>
  </si>
  <si>
    <t>Khách tham quan</t>
  </si>
  <si>
    <t>The visitor looks at the art.</t>
  </si>
  <si>
    <t>Dụng cụ</t>
  </si>
  <si>
    <t>Brush (n)</t>
  </si>
  <si>
    <t>/brʌʃ/</t>
  </si>
  <si>
    <t>Cọ vẽ</t>
  </si>
  <si>
    <t>I paint with a brush.</t>
  </si>
  <si>
    <t>Paint (n)</t>
  </si>
  <si>
    <t>/peɪnt/</t>
  </si>
  <si>
    <t>Sơn / Màu vẽ</t>
  </si>
  <si>
    <t>The paint is red.</t>
  </si>
  <si>
    <t>Pencil (n)</t>
  </si>
  <si>
    <t>/ˈpen.səl/</t>
  </si>
  <si>
    <t>Bút chì</t>
  </si>
  <si>
    <t>I draw with a pencil.</t>
  </si>
  <si>
    <t>Pen (n)</t>
  </si>
  <si>
    <t>/pen/</t>
  </si>
  <si>
    <t>Bút</t>
  </si>
  <si>
    <t>She writes with a black pen.</t>
  </si>
  <si>
    <t>Paper (n)</t>
  </si>
  <si>
    <t>/ˈpeɪ.pər/</t>
  </si>
  <si>
    <t>Giấy</t>
  </si>
  <si>
    <t>This paper is white.</t>
  </si>
  <si>
    <t>Canvas (n)</t>
  </si>
  <si>
    <t>/ˈkæn.vəs/</t>
  </si>
  <si>
    <t>Vải vẽ</t>
  </si>
  <si>
    <t>The canvas is on the wall.</t>
  </si>
  <si>
    <t>Color (n)</t>
  </si>
  <si>
    <t>/ˈkʌl.ər/</t>
  </si>
  <si>
    <t>Màu sắc</t>
  </si>
  <si>
    <t>Blue is my favorite color.</t>
  </si>
  <si>
    <t>Piano (n)</t>
  </si>
  <si>
    <t>/piˈæn.əʊ/</t>
  </si>
  <si>
    <t>Đàn piano</t>
  </si>
  <si>
    <t>She plays the piano every day.</t>
  </si>
  <si>
    <t>Drum (n)</t>
  </si>
  <si>
    <t>/drʌm/</t>
  </si>
  <si>
    <t>Trống</t>
  </si>
  <si>
    <t>The drum is very loud.</t>
  </si>
  <si>
    <t>Violin (n)</t>
  </si>
  <si>
    <t>/ˌvaɪəˈlɪn/</t>
  </si>
  <si>
    <t>Đàn vĩ cầm</t>
  </si>
  <si>
    <t>The violin sounds beautiful.</t>
  </si>
  <si>
    <t>Microphone (n)</t>
  </si>
  <si>
    <t>/ˈmaɪ.krə.fəʊn/</t>
  </si>
  <si>
    <t>Micro</t>
  </si>
  <si>
    <t>Sing into the microphone.</t>
  </si>
  <si>
    <t>Stage (n)</t>
  </si>
  <si>
    <t>/steɪdʒ/</t>
  </si>
  <si>
    <t>Sân khấu</t>
  </si>
  <si>
    <t>The singer stands on the stage.</t>
  </si>
  <si>
    <t>Light (n)</t>
  </si>
  <si>
    <t>/laɪt/</t>
  </si>
  <si>
    <t>Ánh sáng</t>
  </si>
  <si>
    <t>The light is very bright.</t>
  </si>
  <si>
    <t>Ticket (n)</t>
  </si>
  <si>
    <t>/ˈtɪk.ɪt/</t>
  </si>
  <si>
    <t>Vé</t>
  </si>
  <si>
    <t>I buy a concert ticket.</t>
  </si>
  <si>
    <t>Costume (n)</t>
  </si>
  <si>
    <t>/ˈkɒs.tjuːm/</t>
  </si>
  <si>
    <t>Trang phục</t>
  </si>
  <si>
    <t>The costume is colorful.</t>
  </si>
  <si>
    <t>Mask (n)</t>
  </si>
  <si>
    <t>/mɑːsk/</t>
  </si>
  <si>
    <t>Mặt nạ</t>
  </si>
  <si>
    <t>The actor wears a mask.</t>
  </si>
  <si>
    <t>Frame (n)</t>
  </si>
  <si>
    <t>/freɪm/</t>
  </si>
  <si>
    <t>Khung tranh</t>
  </si>
  <si>
    <t>The picture has a gold frame.</t>
  </si>
  <si>
    <t>Động từ</t>
  </si>
  <si>
    <t>Paint (v)</t>
  </si>
  <si>
    <t>Sơn / Vẽ màu</t>
  </si>
  <si>
    <t>She paints a flower.</t>
  </si>
  <si>
    <t>Sing (v)</t>
  </si>
  <si>
    <t>/sɪŋ/</t>
  </si>
  <si>
    <t>Hát</t>
  </si>
  <si>
    <t>They sing a happy song.</t>
  </si>
  <si>
    <t>Dance (v)</t>
  </si>
  <si>
    <t>Nhảy múa</t>
  </si>
  <si>
    <t>We dance at the party.</t>
  </si>
  <si>
    <t>Play (v)</t>
  </si>
  <si>
    <t>/pleɪ/</t>
  </si>
  <si>
    <t>Chơi</t>
  </si>
  <si>
    <t>He plays the guitar.</t>
  </si>
  <si>
    <t>Write (v)</t>
  </si>
  <si>
    <t>/raɪt/</t>
  </si>
  <si>
    <t>Viết</t>
  </si>
  <si>
    <t>The writer writes a story.</t>
  </si>
  <si>
    <t>Watch (v)</t>
  </si>
  <si>
    <t>/wɒtʃ/</t>
  </si>
  <si>
    <t>Xem</t>
  </si>
  <si>
    <t>We watch a film.</t>
  </si>
  <si>
    <t>Listen (v)</t>
  </si>
  <si>
    <t>/ˈlɪs.ən/</t>
  </si>
  <si>
    <t>Nghe</t>
  </si>
  <si>
    <t>I listen to music.</t>
  </si>
  <si>
    <t>Create (v)</t>
  </si>
  <si>
    <t>/kriˈeɪt/</t>
  </si>
  <si>
    <t>Tạo ra</t>
  </si>
  <si>
    <t>Artists create new things.</t>
  </si>
  <si>
    <t>Design (v)</t>
  </si>
  <si>
    <t>/dɪˈzaɪn/</t>
  </si>
  <si>
    <t>Thiết kế</t>
  </si>
  <si>
    <t>She designs a poster.</t>
  </si>
  <si>
    <t>Perform (v)</t>
  </si>
  <si>
    <t>/pəˈfɔːm/</t>
  </si>
  <si>
    <t>Biểu diễn</t>
  </si>
  <si>
    <t>The band performs on stage.</t>
  </si>
  <si>
    <t>Act (v)</t>
  </si>
  <si>
    <t>/ækt/</t>
  </si>
  <si>
    <t>Diễn xuất</t>
  </si>
  <si>
    <t>He acts in a film.</t>
  </si>
  <si>
    <t>Take (v)</t>
  </si>
  <si>
    <t>/teɪk/</t>
  </si>
  <si>
    <t>Chụp / Lấy</t>
  </si>
  <si>
    <t>Take a photo of the painting.</t>
  </si>
  <si>
    <t>Show (v)</t>
  </si>
  <si>
    <t>/ʃəʊ/</t>
  </si>
  <si>
    <t>Trình bày / Cho xem</t>
  </si>
  <si>
    <t>The museum shows old art.</t>
  </si>
  <si>
    <t>Practice (v)</t>
  </si>
  <si>
    <t>/ˈpræk.tɪs/</t>
  </si>
  <si>
    <t>Luyện tập</t>
  </si>
  <si>
    <t>She practices singing every day.</t>
  </si>
  <si>
    <t>Learn (v)</t>
  </si>
  <si>
    <t>/lɜːn/</t>
  </si>
  <si>
    <t>Học</t>
  </si>
  <si>
    <t>Children learn art at school.</t>
  </si>
  <si>
    <t>Visit (v)</t>
  </si>
  <si>
    <t>/ˈvɪz.ɪt/</t>
  </si>
  <si>
    <t>Thăm</t>
  </si>
  <si>
    <t>We visit the gallery.</t>
  </si>
  <si>
    <t>Enjoy (v)</t>
  </si>
  <si>
    <t>/ɪnˈdʒɔɪ/</t>
  </si>
  <si>
    <t>Thưởng thức</t>
  </si>
  <si>
    <t>I enjoy this song.</t>
  </si>
  <si>
    <t>Share (v)</t>
  </si>
  <si>
    <t>/ʃeər/</t>
  </si>
  <si>
    <t>Chia sẻ</t>
  </si>
  <si>
    <t>Artists share their ideas.</t>
  </si>
  <si>
    <t>Tính từ</t>
  </si>
  <si>
    <t>Beautiful (adj)</t>
  </si>
  <si>
    <t>/ˈbjuː.tɪ.fəl/</t>
  </si>
  <si>
    <t>Đẹp</t>
  </si>
  <si>
    <t>The painting is beautiful.</t>
  </si>
  <si>
    <t>Creative (adj)</t>
  </si>
  <si>
    <t>/kriˈeɪ.tɪv/</t>
  </si>
  <si>
    <t>Sáng tạo</t>
  </si>
  <si>
    <t>She is a creative artist.</t>
  </si>
  <si>
    <t>Colorful (adj)</t>
  </si>
  <si>
    <t>/ˈkʌl.ə.fəl/</t>
  </si>
  <si>
    <t>Nhiều màu sắc</t>
  </si>
  <si>
    <t>The picture is colorful.</t>
  </si>
  <si>
    <t>Modern (adj)</t>
  </si>
  <si>
    <t>/ˈmɒd.ən/</t>
  </si>
  <si>
    <t>Hiện đại</t>
  </si>
  <si>
    <t>Modern art can be simple.</t>
  </si>
  <si>
    <t>Traditional (adj)</t>
  </si>
  <si>
    <t>/trəˈdɪʃ.ən.əl/</t>
  </si>
  <si>
    <t>Truyền thống</t>
  </si>
  <si>
    <t>Traditional music is special.</t>
  </si>
  <si>
    <t>Famous (adj)</t>
  </si>
  <si>
    <t>/ˈfeɪ.məs/</t>
  </si>
  <si>
    <t>Nổi tiếng</t>
  </si>
  <si>
    <t>The singer is famous.</t>
  </si>
  <si>
    <t>Popular (adj)</t>
  </si>
  <si>
    <t>/ˈpɒp.jə.lər/</t>
  </si>
  <si>
    <t>Phổ biến</t>
  </si>
  <si>
    <t>This song is popular.</t>
  </si>
  <si>
    <t>Simple (adj)</t>
  </si>
  <si>
    <t>/ˈsɪm.pəl/</t>
  </si>
  <si>
    <t>Đơn giản</t>
  </si>
  <si>
    <t>The design is simple.</t>
  </si>
  <si>
    <t>Difficult (adj)</t>
  </si>
  <si>
    <t>/ˈdɪf.ɪ.kəlt/</t>
  </si>
  <si>
    <t>Khó</t>
  </si>
  <si>
    <t>This dance is difficult.</t>
  </si>
  <si>
    <t>Easy (adj)</t>
  </si>
  <si>
    <t>/ˈiː.zi/</t>
  </si>
  <si>
    <t>Dễ</t>
  </si>
  <si>
    <t>The song is easy to sing.</t>
  </si>
  <si>
    <t>Sad (adj)</t>
  </si>
  <si>
    <t>/sæd/</t>
  </si>
  <si>
    <t>Buồn</t>
  </si>
  <si>
    <t>The story is sad.</t>
  </si>
  <si>
    <t>Loud (adj)</t>
  </si>
  <si>
    <t>/laʊd/</t>
  </si>
  <si>
    <t>To</t>
  </si>
  <si>
    <t>The music is loud.</t>
  </si>
  <si>
    <t>Quiet (adj)</t>
  </si>
  <si>
    <t>/ˈkwaɪ.ət/</t>
  </si>
  <si>
    <t>Yên tĩnh</t>
  </si>
  <si>
    <t>The gallery is quiet.</t>
  </si>
  <si>
    <t>Bright (adj)</t>
  </si>
  <si>
    <t>/braɪt/</t>
  </si>
  <si>
    <t>Sáng</t>
  </si>
  <si>
    <t>The colors are bright.</t>
  </si>
  <si>
    <t>Dark (adj)</t>
  </si>
  <si>
    <t>/dɑːk/</t>
  </si>
  <si>
    <t>Tối</t>
  </si>
  <si>
    <t>The photo is dark.</t>
  </si>
  <si>
    <t>Old (adj)</t>
  </si>
  <si>
    <t>/əʊld/</t>
  </si>
  <si>
    <t>Cũ</t>
  </si>
  <si>
    <t>The museum has old pictures.</t>
  </si>
  <si>
    <t>New (adj)</t>
  </si>
  <si>
    <t>/njuː/</t>
  </si>
  <si>
    <t>Mới</t>
  </si>
  <si>
    <t>This is a new song.</t>
  </si>
  <si>
    <t>Interesting (adj)</t>
  </si>
  <si>
    <t>/ˈɪn.trəs.tɪŋ/</t>
  </si>
  <si>
    <t>Thú vị</t>
  </si>
  <si>
    <t>The story is interesting.</t>
  </si>
  <si>
    <t>Boring (adj)</t>
  </si>
  <si>
    <t>/ˈbɔː.rɪŋ/</t>
  </si>
  <si>
    <t>Nhàm chán</t>
  </si>
  <si>
    <t>The film is boring.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</si>
</sst>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left" vertical="center"/>
    </xf>
    <xf borderId="2" fillId="3" fontId="5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vertical="center"/>
    </xf>
    <xf borderId="2" fillId="3" fontId="6" numFmtId="0" xfId="0" applyAlignment="1" applyBorder="1" applyFill="1" applyFont="1">
      <alignment horizontal="left" vertical="center"/>
    </xf>
    <xf borderId="2" fillId="3" fontId="6" numFmtId="0" xfId="0" applyAlignment="1" applyBorder="1" applyFill="1" applyFont="1">
      <alignment horizontal="left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readingOrder="0" vertical="center"/>
    </xf>
    <xf borderId="3" fillId="5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16.71"/>
    <col customWidth="1" min="5" max="5" width="20.0"/>
    <col customWidth="1" min="6" max="6" width="18.86"/>
    <col customWidth="1" min="7" max="7" width="34.86"/>
    <col customWidth="1" min="8" max="8" width="9.29"/>
    <col customWidth="1" min="9" max="9" width="11.86"/>
    <col customWidth="1" min="10" max="10" width="8.29"/>
    <col customWidth="1" min="11" max="11" width="11.0"/>
    <col customWidth="1" min="12" max="13" width="7.86"/>
    <col customWidth="1" min="14" max="14" width="5.43"/>
    <col customWidth="1" min="15" max="15" width="6.29"/>
    <col customWidth="1" min="16" max="16" width="13.57"/>
    <col customWidth="1" min="17" max="17" width="14.29"/>
    <col customWidth="1" min="18" max="18" width="20.71"/>
    <col customWidth="1" min="19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1.0</v>
      </c>
      <c r="I1" s="2">
        <v>2.0</v>
      </c>
      <c r="J1" s="2">
        <v>3.0</v>
      </c>
      <c r="K1" s="2">
        <v>4.0</v>
      </c>
      <c r="L1" s="2">
        <v>5.0</v>
      </c>
      <c r="M1" s="2">
        <v>6.0</v>
      </c>
      <c r="N1" s="2" t="s">
        <v>7</v>
      </c>
      <c r="O1" s="2" t="s">
        <v>8</v>
      </c>
      <c r="P1" s="2" t="s">
        <v>9</v>
      </c>
      <c r="Q1" s="2" t="s">
        <v>10</v>
      </c>
    </row>
    <row r="2" ht="25.5" customHeight="1">
      <c r="A2" s="3">
        <v>1.0</v>
      </c>
      <c r="B2" s="4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9" t="s">
        <v>16</v>
      </c>
      <c r="H2" s="9" t="str">
        <f>IFERROR(__xludf.DUMMYFUNCTION("split(G2, "" "")"),"Art")</f>
        <v>Art</v>
      </c>
      <c r="I2" s="9" t="str">
        <f>IFERROR(__xludf.DUMMYFUNCTION("""COMPUTED_VALUE"""),"makes")</f>
        <v>makes</v>
      </c>
      <c r="J2" s="9" t="str">
        <f>IFERROR(__xludf.DUMMYFUNCTION("""COMPUTED_VALUE"""),"life")</f>
        <v>life</v>
      </c>
      <c r="K2" s="9" t="str">
        <f>IFERROR(__xludf.DUMMYFUNCTION("""COMPUTED_VALUE"""),"beautiful.")</f>
        <v>beautiful.</v>
      </c>
      <c r="L2" s="9"/>
      <c r="M2" s="9"/>
      <c r="N2" s="9"/>
      <c r="O2" s="9"/>
      <c r="P2" s="10">
        <v>4.0</v>
      </c>
      <c r="Q2" s="10">
        <v>1234.0</v>
      </c>
    </row>
    <row r="3" ht="25.5" customHeight="1">
      <c r="A3" s="11">
        <v>2.0</v>
      </c>
      <c r="B3" s="12" t="s">
        <v>11</v>
      </c>
      <c r="C3" s="13" t="s">
        <v>12</v>
      </c>
      <c r="D3" s="14" t="s">
        <v>17</v>
      </c>
      <c r="E3" s="15" t="s">
        <v>18</v>
      </c>
      <c r="F3" s="16" t="s">
        <v>19</v>
      </c>
      <c r="G3" s="17" t="s">
        <v>20</v>
      </c>
      <c r="H3" s="17" t="str">
        <f>IFERROR(__xludf.DUMMYFUNCTION("split(G3, "" "")"),"The")</f>
        <v>The</v>
      </c>
      <c r="I3" s="17" t="str">
        <f>IFERROR(__xludf.DUMMYFUNCTION("""COMPUTED_VALUE"""),"painting")</f>
        <v>painting</v>
      </c>
      <c r="J3" s="17" t="str">
        <f>IFERROR(__xludf.DUMMYFUNCTION("""COMPUTED_VALUE"""),"is")</f>
        <v>is</v>
      </c>
      <c r="K3" s="17" t="str">
        <f>IFERROR(__xludf.DUMMYFUNCTION("""COMPUTED_VALUE"""),"colorful.")</f>
        <v>colorful.</v>
      </c>
      <c r="L3" s="17"/>
      <c r="M3" s="17"/>
      <c r="N3" s="17"/>
      <c r="O3" s="17"/>
      <c r="P3" s="18">
        <v>3.0</v>
      </c>
      <c r="Q3" s="18">
        <v>124.0</v>
      </c>
    </row>
    <row r="4" ht="25.5" customHeight="1">
      <c r="A4" s="3">
        <v>3.0</v>
      </c>
      <c r="B4" s="19" t="s">
        <v>11</v>
      </c>
      <c r="C4" s="20" t="s">
        <v>12</v>
      </c>
      <c r="D4" s="21" t="s">
        <v>21</v>
      </c>
      <c r="E4" s="22" t="s">
        <v>22</v>
      </c>
      <c r="F4" s="23" t="s">
        <v>23</v>
      </c>
      <c r="G4" s="24" t="s">
        <v>24</v>
      </c>
      <c r="H4" s="24" t="str">
        <f>IFERROR(__xludf.DUMMYFUNCTION("split(G4, "" "")"),"Her")</f>
        <v>Her</v>
      </c>
      <c r="I4" s="24" t="str">
        <f>IFERROR(__xludf.DUMMYFUNCTION("""COMPUTED_VALUE"""),"drawing")</f>
        <v>drawing</v>
      </c>
      <c r="J4" s="24" t="str">
        <f>IFERROR(__xludf.DUMMYFUNCTION("""COMPUTED_VALUE"""),"is")</f>
        <v>is</v>
      </c>
      <c r="K4" s="24" t="str">
        <f>IFERROR(__xludf.DUMMYFUNCTION("""COMPUTED_VALUE"""),"very")</f>
        <v>very</v>
      </c>
      <c r="L4" s="24" t="str">
        <f>IFERROR(__xludf.DUMMYFUNCTION("""COMPUTED_VALUE"""),"nice.")</f>
        <v>nice.</v>
      </c>
      <c r="M4" s="24"/>
      <c r="N4" s="24"/>
      <c r="O4" s="24"/>
      <c r="P4" s="25">
        <v>3.0</v>
      </c>
      <c r="Q4" s="25">
        <v>125.0</v>
      </c>
    </row>
    <row r="5" ht="25.5" customHeight="1">
      <c r="A5" s="11">
        <v>4.0</v>
      </c>
      <c r="B5" s="12" t="s">
        <v>11</v>
      </c>
      <c r="C5" s="13" t="s">
        <v>12</v>
      </c>
      <c r="D5" s="14" t="s">
        <v>25</v>
      </c>
      <c r="E5" s="15" t="s">
        <v>26</v>
      </c>
      <c r="F5" s="16" t="s">
        <v>27</v>
      </c>
      <c r="G5" s="17" t="s">
        <v>28</v>
      </c>
      <c r="H5" s="17" t="str">
        <f>IFERROR(__xludf.DUMMYFUNCTION("split(G5, "" "")"),"Music")</f>
        <v>Music</v>
      </c>
      <c r="I5" s="17" t="str">
        <f>IFERROR(__xludf.DUMMYFUNCTION("""COMPUTED_VALUE"""),"makes")</f>
        <v>makes</v>
      </c>
      <c r="J5" s="17" t="str">
        <f>IFERROR(__xludf.DUMMYFUNCTION("""COMPUTED_VALUE"""),"me")</f>
        <v>me</v>
      </c>
      <c r="K5" s="17" t="str">
        <f>IFERROR(__xludf.DUMMYFUNCTION("""COMPUTED_VALUE"""),"happy.")</f>
        <v>happy.</v>
      </c>
      <c r="L5" s="17"/>
      <c r="M5" s="17"/>
      <c r="N5" s="17"/>
      <c r="O5" s="17"/>
      <c r="P5" s="18">
        <v>2.0</v>
      </c>
      <c r="Q5" s="18">
        <v>14.0</v>
      </c>
    </row>
    <row r="6" ht="25.5" customHeight="1">
      <c r="A6" s="3">
        <v>5.0</v>
      </c>
      <c r="B6" s="12" t="s">
        <v>11</v>
      </c>
      <c r="C6" s="13" t="s">
        <v>12</v>
      </c>
      <c r="D6" s="14" t="s">
        <v>29</v>
      </c>
      <c r="E6" s="15" t="s">
        <v>30</v>
      </c>
      <c r="F6" s="16" t="s">
        <v>31</v>
      </c>
      <c r="G6" s="17" t="s">
        <v>32</v>
      </c>
      <c r="H6" s="17" t="str">
        <f>IFERROR(__xludf.DUMMYFUNCTION("split(G6, "" "")"),"The")</f>
        <v>The</v>
      </c>
      <c r="I6" s="17" t="str">
        <f>IFERROR(__xludf.DUMMYFUNCTION("""COMPUTED_VALUE"""),"dance")</f>
        <v>dance</v>
      </c>
      <c r="J6" s="17" t="str">
        <f>IFERROR(__xludf.DUMMYFUNCTION("""COMPUTED_VALUE"""),"is")</f>
        <v>is</v>
      </c>
      <c r="K6" s="17" t="str">
        <f>IFERROR(__xludf.DUMMYFUNCTION("""COMPUTED_VALUE"""),"beautiful.")</f>
        <v>beautiful.</v>
      </c>
      <c r="L6" s="17"/>
      <c r="M6" s="17"/>
      <c r="N6" s="17"/>
      <c r="O6" s="17"/>
      <c r="P6" s="18">
        <v>3.0</v>
      </c>
      <c r="Q6" s="18">
        <v>124.0</v>
      </c>
    </row>
    <row r="7" ht="25.5" customHeight="1">
      <c r="A7" s="11">
        <v>6.0</v>
      </c>
      <c r="B7" s="19" t="s">
        <v>11</v>
      </c>
      <c r="C7" s="20" t="s">
        <v>12</v>
      </c>
      <c r="D7" s="21" t="s">
        <v>33</v>
      </c>
      <c r="E7" s="22" t="s">
        <v>34</v>
      </c>
      <c r="F7" s="23" t="s">
        <v>35</v>
      </c>
      <c r="G7" s="24" t="s">
        <v>36</v>
      </c>
      <c r="H7" s="24" t="str">
        <f>IFERROR(__xludf.DUMMYFUNCTION("split(G7, "" "")"),"The")</f>
        <v>The</v>
      </c>
      <c r="I7" s="24" t="str">
        <f>IFERROR(__xludf.DUMMYFUNCTION("""COMPUTED_VALUE"""),"film")</f>
        <v>film</v>
      </c>
      <c r="J7" s="24" t="str">
        <f>IFERROR(__xludf.DUMMYFUNCTION("""COMPUTED_VALUE"""),"is")</f>
        <v>is</v>
      </c>
      <c r="K7" s="24" t="str">
        <f>IFERROR(__xludf.DUMMYFUNCTION("""COMPUTED_VALUE"""),"very")</f>
        <v>very</v>
      </c>
      <c r="L7" s="24" t="str">
        <f>IFERROR(__xludf.DUMMYFUNCTION("""COMPUTED_VALUE"""),"funny.")</f>
        <v>funny.</v>
      </c>
      <c r="M7" s="24"/>
      <c r="N7" s="24"/>
      <c r="O7" s="24"/>
      <c r="P7" s="25">
        <v>3.0</v>
      </c>
      <c r="Q7" s="25">
        <v>125.0</v>
      </c>
    </row>
    <row r="8" ht="25.5" customHeight="1">
      <c r="A8" s="3">
        <v>7.0</v>
      </c>
      <c r="B8" s="12" t="s">
        <v>11</v>
      </c>
      <c r="C8" s="13" t="s">
        <v>12</v>
      </c>
      <c r="D8" s="14" t="s">
        <v>37</v>
      </c>
      <c r="E8" s="15" t="s">
        <v>38</v>
      </c>
      <c r="F8" s="16" t="s">
        <v>39</v>
      </c>
      <c r="G8" s="17" t="s">
        <v>40</v>
      </c>
      <c r="H8" s="17" t="str">
        <f>IFERROR(__xludf.DUMMYFUNCTION("split(G8, "" "")"),"This")</f>
        <v>This</v>
      </c>
      <c r="I8" s="17" t="str">
        <f>IFERROR(__xludf.DUMMYFUNCTION("""COMPUTED_VALUE"""),"photo")</f>
        <v>photo</v>
      </c>
      <c r="J8" s="17" t="str">
        <f>IFERROR(__xludf.DUMMYFUNCTION("""COMPUTED_VALUE"""),"is")</f>
        <v>is</v>
      </c>
      <c r="K8" s="17" t="str">
        <f>IFERROR(__xludf.DUMMYFUNCTION("""COMPUTED_VALUE"""),"clear.")</f>
        <v>clear.</v>
      </c>
      <c r="L8" s="17"/>
      <c r="M8" s="17"/>
      <c r="N8" s="17"/>
      <c r="O8" s="17"/>
      <c r="P8" s="18">
        <v>3.0</v>
      </c>
      <c r="Q8" s="18">
        <v>124.0</v>
      </c>
    </row>
    <row r="9" ht="25.5" customHeight="1">
      <c r="A9" s="11">
        <v>8.0</v>
      </c>
      <c r="B9" s="19" t="s">
        <v>11</v>
      </c>
      <c r="C9" s="20" t="s">
        <v>12</v>
      </c>
      <c r="D9" s="21" t="s">
        <v>41</v>
      </c>
      <c r="E9" s="22" t="s">
        <v>42</v>
      </c>
      <c r="F9" s="23" t="s">
        <v>43</v>
      </c>
      <c r="G9" s="24" t="s">
        <v>44</v>
      </c>
      <c r="H9" s="24" t="str">
        <f>IFERROR(__xludf.DUMMYFUNCTION("split(G9, "" "")"),"I")</f>
        <v>I</v>
      </c>
      <c r="I9" s="24" t="str">
        <f>IFERROR(__xludf.DUMMYFUNCTION("""COMPUTED_VALUE"""),"like")</f>
        <v>like</v>
      </c>
      <c r="J9" s="24" t="str">
        <f>IFERROR(__xludf.DUMMYFUNCTION("""COMPUTED_VALUE"""),"this")</f>
        <v>this</v>
      </c>
      <c r="K9" s="24" t="str">
        <f>IFERROR(__xludf.DUMMYFUNCTION("""COMPUTED_VALUE"""),"picture.")</f>
        <v>picture.</v>
      </c>
      <c r="L9" s="24"/>
      <c r="M9" s="24"/>
      <c r="N9" s="24"/>
      <c r="O9" s="24"/>
      <c r="P9" s="25">
        <v>3.0</v>
      </c>
      <c r="Q9" s="25">
        <v>124.0</v>
      </c>
    </row>
    <row r="10" ht="25.5" customHeight="1">
      <c r="A10" s="3">
        <v>9.0</v>
      </c>
      <c r="B10" s="12" t="s">
        <v>11</v>
      </c>
      <c r="C10" s="13" t="s">
        <v>12</v>
      </c>
      <c r="D10" s="14" t="s">
        <v>45</v>
      </c>
      <c r="E10" s="15" t="s">
        <v>46</v>
      </c>
      <c r="F10" s="16" t="s">
        <v>47</v>
      </c>
      <c r="G10" s="17" t="s">
        <v>48</v>
      </c>
      <c r="H10" s="17" t="str">
        <f>IFERROR(__xludf.DUMMYFUNCTION("split(G10, "" "")"),"The")</f>
        <v>The</v>
      </c>
      <c r="I10" s="17" t="str">
        <f>IFERROR(__xludf.DUMMYFUNCTION("""COMPUTED_VALUE"""),"poem")</f>
        <v>poem</v>
      </c>
      <c r="J10" s="17" t="str">
        <f>IFERROR(__xludf.DUMMYFUNCTION("""COMPUTED_VALUE"""),"is")</f>
        <v>is</v>
      </c>
      <c r="K10" s="17" t="str">
        <f>IFERROR(__xludf.DUMMYFUNCTION("""COMPUTED_VALUE"""),"short.")</f>
        <v>short.</v>
      </c>
      <c r="L10" s="17"/>
      <c r="M10" s="17"/>
      <c r="N10" s="17"/>
      <c r="O10" s="17"/>
      <c r="P10" s="18">
        <v>3.0</v>
      </c>
      <c r="Q10" s="18">
        <v>124.0</v>
      </c>
    </row>
    <row r="11" ht="25.5" customHeight="1">
      <c r="A11" s="11">
        <v>10.0</v>
      </c>
      <c r="B11" s="12" t="s">
        <v>11</v>
      </c>
      <c r="C11" s="13" t="s">
        <v>12</v>
      </c>
      <c r="D11" s="14" t="s">
        <v>49</v>
      </c>
      <c r="E11" s="15" t="s">
        <v>50</v>
      </c>
      <c r="F11" s="16" t="s">
        <v>51</v>
      </c>
      <c r="G11" s="17" t="s">
        <v>52</v>
      </c>
      <c r="H11" s="17" t="str">
        <f>IFERROR(__xludf.DUMMYFUNCTION("split(G11, "" "")"),"This")</f>
        <v>This</v>
      </c>
      <c r="I11" s="17" t="str">
        <f>IFERROR(__xludf.DUMMYFUNCTION("""COMPUTED_VALUE"""),"novel")</f>
        <v>novel</v>
      </c>
      <c r="J11" s="17" t="str">
        <f>IFERROR(__xludf.DUMMYFUNCTION("""COMPUTED_VALUE"""),"is")</f>
        <v>is</v>
      </c>
      <c r="K11" s="17" t="str">
        <f>IFERROR(__xludf.DUMMYFUNCTION("""COMPUTED_VALUE"""),"interesting.")</f>
        <v>interesting.</v>
      </c>
      <c r="L11" s="17"/>
      <c r="M11" s="17"/>
      <c r="N11" s="17"/>
      <c r="O11" s="17"/>
      <c r="P11" s="18">
        <v>3.0</v>
      </c>
      <c r="Q11" s="18">
        <v>124.0</v>
      </c>
    </row>
    <row r="12" ht="25.5" customHeight="1">
      <c r="A12" s="3">
        <v>11.0</v>
      </c>
      <c r="B12" s="19" t="s">
        <v>11</v>
      </c>
      <c r="C12" s="20" t="s">
        <v>12</v>
      </c>
      <c r="D12" s="21" t="s">
        <v>53</v>
      </c>
      <c r="E12" s="22" t="s">
        <v>54</v>
      </c>
      <c r="F12" s="23" t="s">
        <v>55</v>
      </c>
      <c r="G12" s="26" t="s">
        <v>56</v>
      </c>
      <c r="H12" s="24" t="str">
        <f>IFERROR(__xludf.DUMMYFUNCTION("split(G12, "" "")"),"The")</f>
        <v>The</v>
      </c>
      <c r="I12" s="24" t="str">
        <f>IFERROR(__xludf.DUMMYFUNCTION("""COMPUTED_VALUE"""),"drama")</f>
        <v>drama</v>
      </c>
      <c r="J12" s="24" t="str">
        <f>IFERROR(__xludf.DUMMYFUNCTION("""COMPUTED_VALUE"""),"starts")</f>
        <v>starts</v>
      </c>
      <c r="K12" s="24" t="str">
        <f>IFERROR(__xludf.DUMMYFUNCTION("""COMPUTED_VALUE"""),"tonight.")</f>
        <v>tonight.</v>
      </c>
      <c r="L12" s="24"/>
      <c r="M12" s="24"/>
      <c r="N12" s="24"/>
      <c r="O12" s="24"/>
      <c r="P12" s="25">
        <v>3.0</v>
      </c>
      <c r="Q12" s="25">
        <v>124.0</v>
      </c>
    </row>
    <row r="13" ht="25.5" customHeight="1">
      <c r="A13" s="11">
        <v>12.0</v>
      </c>
      <c r="B13" s="19" t="s">
        <v>11</v>
      </c>
      <c r="C13" s="20" t="s">
        <v>12</v>
      </c>
      <c r="D13" s="21" t="s">
        <v>57</v>
      </c>
      <c r="E13" s="22" t="s">
        <v>58</v>
      </c>
      <c r="F13" s="23" t="s">
        <v>59</v>
      </c>
      <c r="G13" s="24" t="s">
        <v>60</v>
      </c>
      <c r="H13" s="24" t="str">
        <f>IFERROR(__xludf.DUMMYFUNCTION("split(G13, "" "")"),"The")</f>
        <v>The</v>
      </c>
      <c r="I13" s="24" t="str">
        <f>IFERROR(__xludf.DUMMYFUNCTION("""COMPUTED_VALUE"""),"museum")</f>
        <v>museum</v>
      </c>
      <c r="J13" s="24" t="str">
        <f>IFERROR(__xludf.DUMMYFUNCTION("""COMPUTED_VALUE"""),"has")</f>
        <v>has</v>
      </c>
      <c r="K13" s="24" t="str">
        <f>IFERROR(__xludf.DUMMYFUNCTION("""COMPUTED_VALUE"""),"old")</f>
        <v>old</v>
      </c>
      <c r="L13" s="24" t="str">
        <f>IFERROR(__xludf.DUMMYFUNCTION("""COMPUTED_VALUE"""),"art.")</f>
        <v>art.</v>
      </c>
      <c r="M13" s="24"/>
      <c r="N13" s="24"/>
      <c r="O13" s="24"/>
      <c r="P13" s="25">
        <v>4.0</v>
      </c>
      <c r="Q13" s="25">
        <v>1245.0</v>
      </c>
    </row>
    <row r="14" ht="25.5" customHeight="1">
      <c r="A14" s="3">
        <v>13.0</v>
      </c>
      <c r="B14" s="12" t="s">
        <v>11</v>
      </c>
      <c r="C14" s="13" t="s">
        <v>12</v>
      </c>
      <c r="D14" s="14" t="s">
        <v>61</v>
      </c>
      <c r="E14" s="15" t="s">
        <v>62</v>
      </c>
      <c r="F14" s="16" t="s">
        <v>63</v>
      </c>
      <c r="G14" s="17" t="s">
        <v>64</v>
      </c>
      <c r="H14" s="17" t="str">
        <f>IFERROR(__xludf.DUMMYFUNCTION("split(G14, "" "")"),"The")</f>
        <v>The</v>
      </c>
      <c r="I14" s="17" t="str">
        <f>IFERROR(__xludf.DUMMYFUNCTION("""COMPUTED_VALUE"""),"gallery")</f>
        <v>gallery</v>
      </c>
      <c r="J14" s="17" t="str">
        <f>IFERROR(__xludf.DUMMYFUNCTION("""COMPUTED_VALUE"""),"is")</f>
        <v>is</v>
      </c>
      <c r="K14" s="17" t="str">
        <f>IFERROR(__xludf.DUMMYFUNCTION("""COMPUTED_VALUE"""),"open")</f>
        <v>open</v>
      </c>
      <c r="L14" s="17" t="str">
        <f>IFERROR(__xludf.DUMMYFUNCTION("""COMPUTED_VALUE"""),"today.")</f>
        <v>today.</v>
      </c>
      <c r="M14" s="17"/>
      <c r="N14" s="17"/>
      <c r="O14" s="17"/>
      <c r="P14" s="18">
        <v>4.0</v>
      </c>
      <c r="Q14" s="18">
        <v>1245.0</v>
      </c>
    </row>
    <row r="15" ht="25.5" customHeight="1">
      <c r="A15" s="11">
        <v>14.0</v>
      </c>
      <c r="B15" s="19" t="s">
        <v>11</v>
      </c>
      <c r="C15" s="20" t="s">
        <v>12</v>
      </c>
      <c r="D15" s="21" t="s">
        <v>65</v>
      </c>
      <c r="E15" s="22" t="s">
        <v>66</v>
      </c>
      <c r="F15" s="23" t="s">
        <v>67</v>
      </c>
      <c r="G15" s="24" t="s">
        <v>68</v>
      </c>
      <c r="H15" s="24" t="str">
        <f>IFERROR(__xludf.DUMMYFUNCTION("split(G15, "" "")"),"The")</f>
        <v>The</v>
      </c>
      <c r="I15" s="24" t="str">
        <f>IFERROR(__xludf.DUMMYFUNCTION("""COMPUTED_VALUE"""),"concert")</f>
        <v>concert</v>
      </c>
      <c r="J15" s="24" t="str">
        <f>IFERROR(__xludf.DUMMYFUNCTION("""COMPUTED_VALUE"""),"is")</f>
        <v>is</v>
      </c>
      <c r="K15" s="24" t="str">
        <f>IFERROR(__xludf.DUMMYFUNCTION("""COMPUTED_VALUE"""),"loud.")</f>
        <v>loud.</v>
      </c>
      <c r="L15" s="24"/>
      <c r="M15" s="24"/>
      <c r="N15" s="24"/>
      <c r="O15" s="24"/>
      <c r="P15" s="25">
        <v>3.0</v>
      </c>
      <c r="Q15" s="25">
        <v>124.0</v>
      </c>
    </row>
    <row r="16" ht="25.5" customHeight="1">
      <c r="A16" s="3">
        <v>15.0</v>
      </c>
      <c r="B16" s="19" t="s">
        <v>11</v>
      </c>
      <c r="C16" s="20" t="s">
        <v>12</v>
      </c>
      <c r="D16" s="21" t="s">
        <v>69</v>
      </c>
      <c r="E16" s="22" t="s">
        <v>70</v>
      </c>
      <c r="F16" s="23" t="s">
        <v>71</v>
      </c>
      <c r="G16" s="24" t="s">
        <v>72</v>
      </c>
      <c r="H16" s="24" t="str">
        <f>IFERROR(__xludf.DUMMYFUNCTION("split(G16, "" "")"),"The")</f>
        <v>The</v>
      </c>
      <c r="I16" s="24" t="str">
        <f>IFERROR(__xludf.DUMMYFUNCTION("""COMPUTED_VALUE"""),"sculpture")</f>
        <v>sculpture</v>
      </c>
      <c r="J16" s="24" t="str">
        <f>IFERROR(__xludf.DUMMYFUNCTION("""COMPUTED_VALUE"""),"is")</f>
        <v>is</v>
      </c>
      <c r="K16" s="24" t="str">
        <f>IFERROR(__xludf.DUMMYFUNCTION("""COMPUTED_VALUE"""),"made")</f>
        <v>made</v>
      </c>
      <c r="L16" s="24" t="str">
        <f>IFERROR(__xludf.DUMMYFUNCTION("""COMPUTED_VALUE"""),"of")</f>
        <v>of</v>
      </c>
      <c r="M16" s="24" t="str">
        <f>IFERROR(__xludf.DUMMYFUNCTION("""COMPUTED_VALUE"""),"stone.")</f>
        <v>stone.</v>
      </c>
      <c r="N16" s="24"/>
      <c r="O16" s="25"/>
      <c r="P16" s="25">
        <v>4.0</v>
      </c>
      <c r="Q16" s="25">
        <v>1246.0</v>
      </c>
    </row>
    <row r="17" ht="25.5" customHeight="1">
      <c r="A17" s="11">
        <v>16.0</v>
      </c>
      <c r="B17" s="12" t="s">
        <v>11</v>
      </c>
      <c r="C17" s="13" t="s">
        <v>12</v>
      </c>
      <c r="D17" s="14" t="s">
        <v>73</v>
      </c>
      <c r="E17" s="15" t="s">
        <v>74</v>
      </c>
      <c r="F17" s="16" t="s">
        <v>75</v>
      </c>
      <c r="G17" s="17" t="s">
        <v>76</v>
      </c>
      <c r="H17" s="17" t="str">
        <f>IFERROR(__xludf.DUMMYFUNCTION("split(G17, "" "")"),"The")</f>
        <v>The</v>
      </c>
      <c r="I17" s="17" t="str">
        <f>IFERROR(__xludf.DUMMYFUNCTION("""COMPUTED_VALUE"""),"performance")</f>
        <v>performance</v>
      </c>
      <c r="J17" s="17" t="str">
        <f>IFERROR(__xludf.DUMMYFUNCTION("""COMPUTED_VALUE"""),"is")</f>
        <v>is</v>
      </c>
      <c r="K17" s="17" t="str">
        <f>IFERROR(__xludf.DUMMYFUNCTION("""COMPUTED_VALUE"""),"great.")</f>
        <v>great.</v>
      </c>
      <c r="L17" s="17"/>
      <c r="M17" s="17"/>
      <c r="N17" s="17"/>
      <c r="O17" s="17"/>
      <c r="P17" s="18">
        <v>3.0</v>
      </c>
      <c r="Q17" s="18">
        <v>124.0</v>
      </c>
    </row>
    <row r="18" ht="25.5" customHeight="1">
      <c r="A18" s="3">
        <v>17.0</v>
      </c>
      <c r="B18" s="19" t="s">
        <v>11</v>
      </c>
      <c r="C18" s="20" t="s">
        <v>77</v>
      </c>
      <c r="D18" s="21" t="s">
        <v>78</v>
      </c>
      <c r="E18" s="22" t="s">
        <v>79</v>
      </c>
      <c r="F18" s="23" t="s">
        <v>80</v>
      </c>
      <c r="G18" s="24" t="s">
        <v>81</v>
      </c>
      <c r="H18" s="24" t="str">
        <f>IFERROR(__xludf.DUMMYFUNCTION("split(G18, "" "")"),"The")</f>
        <v>The</v>
      </c>
      <c r="I18" s="24" t="str">
        <f>IFERROR(__xludf.DUMMYFUNCTION("""COMPUTED_VALUE"""),"artist")</f>
        <v>artist</v>
      </c>
      <c r="J18" s="24" t="str">
        <f>IFERROR(__xludf.DUMMYFUNCTION("""COMPUTED_VALUE"""),"paints")</f>
        <v>paints</v>
      </c>
      <c r="K18" s="24" t="str">
        <f>IFERROR(__xludf.DUMMYFUNCTION("""COMPUTED_VALUE"""),"flowers.")</f>
        <v>flowers.</v>
      </c>
      <c r="L18" s="24"/>
      <c r="M18" s="24"/>
      <c r="N18" s="24"/>
      <c r="O18" s="24"/>
      <c r="P18" s="25">
        <v>4.0</v>
      </c>
      <c r="Q18" s="25">
        <v>1234.0</v>
      </c>
    </row>
    <row r="19" ht="25.5" customHeight="1">
      <c r="A19" s="11">
        <v>18.0</v>
      </c>
      <c r="B19" s="12" t="s">
        <v>11</v>
      </c>
      <c r="C19" s="13" t="s">
        <v>77</v>
      </c>
      <c r="D19" s="14" t="s">
        <v>82</v>
      </c>
      <c r="E19" s="15" t="s">
        <v>83</v>
      </c>
      <c r="F19" s="16" t="s">
        <v>84</v>
      </c>
      <c r="G19" s="26" t="s">
        <v>85</v>
      </c>
      <c r="H19" s="17" t="str">
        <f>IFERROR(__xludf.DUMMYFUNCTION("split(G19, "" "")"),"The")</f>
        <v>The</v>
      </c>
      <c r="I19" s="17" t="str">
        <f>IFERROR(__xludf.DUMMYFUNCTION("""COMPUTED_VALUE"""),"painter")</f>
        <v>painter</v>
      </c>
      <c r="J19" s="17" t="str">
        <f>IFERROR(__xludf.DUMMYFUNCTION("""COMPUTED_VALUE"""),"uses")</f>
        <v>uses</v>
      </c>
      <c r="K19" s="17" t="str">
        <f>IFERROR(__xludf.DUMMYFUNCTION("""COMPUTED_VALUE"""),"bright")</f>
        <v>bright</v>
      </c>
      <c r="L19" s="17" t="str">
        <f>IFERROR(__xludf.DUMMYFUNCTION("""COMPUTED_VALUE"""),"colors.")</f>
        <v>colors.</v>
      </c>
      <c r="M19" s="17"/>
      <c r="N19" s="17"/>
      <c r="O19" s="17"/>
      <c r="P19" s="18">
        <v>4.0</v>
      </c>
      <c r="Q19" s="18">
        <v>1245.0</v>
      </c>
    </row>
    <row r="20" ht="25.5" customHeight="1">
      <c r="A20" s="3">
        <v>19.0</v>
      </c>
      <c r="B20" s="19" t="s">
        <v>11</v>
      </c>
      <c r="C20" s="20" t="s">
        <v>77</v>
      </c>
      <c r="D20" s="21" t="s">
        <v>86</v>
      </c>
      <c r="E20" s="22" t="s">
        <v>87</v>
      </c>
      <c r="F20" s="23" t="s">
        <v>88</v>
      </c>
      <c r="G20" s="24" t="s">
        <v>89</v>
      </c>
      <c r="H20" s="24" t="str">
        <f>IFERROR(__xludf.DUMMYFUNCTION("split(G20, "" "")"),"The")</f>
        <v>The</v>
      </c>
      <c r="I20" s="24" t="str">
        <f>IFERROR(__xludf.DUMMYFUNCTION("""COMPUTED_VALUE"""),"singer")</f>
        <v>singer</v>
      </c>
      <c r="J20" s="24" t="str">
        <f>IFERROR(__xludf.DUMMYFUNCTION("""COMPUTED_VALUE"""),"has")</f>
        <v>has</v>
      </c>
      <c r="K20" s="24" t="str">
        <f>IFERROR(__xludf.DUMMYFUNCTION("""COMPUTED_VALUE"""),"a")</f>
        <v>a</v>
      </c>
      <c r="L20" s="24" t="str">
        <f>IFERROR(__xludf.DUMMYFUNCTION("""COMPUTED_VALUE"""),"sweet")</f>
        <v>sweet</v>
      </c>
      <c r="M20" s="24" t="str">
        <f>IFERROR(__xludf.DUMMYFUNCTION("""COMPUTED_VALUE"""),"voice.")</f>
        <v>voice.</v>
      </c>
      <c r="N20" s="24"/>
      <c r="O20" s="24"/>
      <c r="P20" s="25">
        <v>4.0</v>
      </c>
      <c r="Q20" s="25">
        <v>1256.0</v>
      </c>
    </row>
    <row r="21" ht="25.5" customHeight="1">
      <c r="A21" s="11">
        <v>20.0</v>
      </c>
      <c r="B21" s="12" t="s">
        <v>11</v>
      </c>
      <c r="C21" s="13" t="s">
        <v>77</v>
      </c>
      <c r="D21" s="14" t="s">
        <v>90</v>
      </c>
      <c r="E21" s="15" t="s">
        <v>91</v>
      </c>
      <c r="F21" s="16" t="s">
        <v>92</v>
      </c>
      <c r="G21" s="17" t="s">
        <v>93</v>
      </c>
      <c r="H21" s="17" t="str">
        <f>IFERROR(__xludf.DUMMYFUNCTION("split(G21, "" "")"),"The")</f>
        <v>The</v>
      </c>
      <c r="I21" s="17" t="str">
        <f>IFERROR(__xludf.DUMMYFUNCTION("""COMPUTED_VALUE"""),"dancer")</f>
        <v>dancer</v>
      </c>
      <c r="J21" s="17" t="str">
        <f>IFERROR(__xludf.DUMMYFUNCTION("""COMPUTED_VALUE"""),"moves")</f>
        <v>moves</v>
      </c>
      <c r="K21" s="17" t="str">
        <f>IFERROR(__xludf.DUMMYFUNCTION("""COMPUTED_VALUE"""),"beautifully.")</f>
        <v>beautifully.</v>
      </c>
      <c r="L21" s="17"/>
      <c r="M21" s="17"/>
      <c r="N21" s="17"/>
      <c r="O21" s="17"/>
      <c r="P21" s="18">
        <v>4.0</v>
      </c>
      <c r="Q21" s="18">
        <v>1234.0</v>
      </c>
    </row>
    <row r="22" ht="25.5" customHeight="1">
      <c r="A22" s="3">
        <v>21.0</v>
      </c>
      <c r="B22" s="19" t="s">
        <v>11</v>
      </c>
      <c r="C22" s="20" t="s">
        <v>77</v>
      </c>
      <c r="D22" s="21" t="s">
        <v>94</v>
      </c>
      <c r="E22" s="22" t="s">
        <v>95</v>
      </c>
      <c r="F22" s="23" t="s">
        <v>96</v>
      </c>
      <c r="G22" s="24" t="s">
        <v>97</v>
      </c>
      <c r="H22" s="24" t="str">
        <f>IFERROR(__xludf.DUMMYFUNCTION("split(G22, "" "")"),"The")</f>
        <v>The</v>
      </c>
      <c r="I22" s="24" t="str">
        <f>IFERROR(__xludf.DUMMYFUNCTION("""COMPUTED_VALUE"""),"actor")</f>
        <v>actor</v>
      </c>
      <c r="J22" s="24" t="str">
        <f>IFERROR(__xludf.DUMMYFUNCTION("""COMPUTED_VALUE"""),"is")</f>
        <v>is</v>
      </c>
      <c r="K22" s="24" t="str">
        <f>IFERROR(__xludf.DUMMYFUNCTION("""COMPUTED_VALUE"""),"famous.")</f>
        <v>famous.</v>
      </c>
      <c r="L22" s="24"/>
      <c r="M22" s="24"/>
      <c r="N22" s="24"/>
      <c r="O22" s="24"/>
      <c r="P22" s="25">
        <v>3.0</v>
      </c>
      <c r="Q22" s="25">
        <v>124.0</v>
      </c>
    </row>
    <row r="23" ht="25.5" customHeight="1">
      <c r="A23" s="11">
        <v>22.0</v>
      </c>
      <c r="B23" s="12" t="s">
        <v>11</v>
      </c>
      <c r="C23" s="13" t="s">
        <v>77</v>
      </c>
      <c r="D23" s="14" t="s">
        <v>98</v>
      </c>
      <c r="E23" s="15" t="s">
        <v>99</v>
      </c>
      <c r="F23" s="16" t="s">
        <v>100</v>
      </c>
      <c r="G23" s="17" t="s">
        <v>101</v>
      </c>
      <c r="H23" s="17" t="str">
        <f>IFERROR(__xludf.DUMMYFUNCTION("split(G23, "" "")"),"The")</f>
        <v>The</v>
      </c>
      <c r="I23" s="17" t="str">
        <f>IFERROR(__xludf.DUMMYFUNCTION("""COMPUTED_VALUE"""),"actress")</f>
        <v>actress</v>
      </c>
      <c r="J23" s="17" t="str">
        <f>IFERROR(__xludf.DUMMYFUNCTION("""COMPUTED_VALUE"""),"smiles")</f>
        <v>smiles</v>
      </c>
      <c r="K23" s="17" t="str">
        <f>IFERROR(__xludf.DUMMYFUNCTION("""COMPUTED_VALUE"""),"on")</f>
        <v>on</v>
      </c>
      <c r="L23" s="17" t="str">
        <f>IFERROR(__xludf.DUMMYFUNCTION("""COMPUTED_VALUE"""),"stage.")</f>
        <v>stage.</v>
      </c>
      <c r="M23" s="17"/>
      <c r="N23" s="17"/>
      <c r="O23" s="17"/>
      <c r="P23" s="18">
        <v>4.0</v>
      </c>
      <c r="Q23" s="18">
        <v>1235.0</v>
      </c>
    </row>
    <row r="24" ht="25.5" customHeight="1">
      <c r="A24" s="3">
        <v>23.0</v>
      </c>
      <c r="B24" s="19" t="s">
        <v>11</v>
      </c>
      <c r="C24" s="20" t="s">
        <v>77</v>
      </c>
      <c r="D24" s="21" t="s">
        <v>102</v>
      </c>
      <c r="E24" s="22" t="s">
        <v>103</v>
      </c>
      <c r="F24" s="23" t="s">
        <v>104</v>
      </c>
      <c r="G24" s="24" t="s">
        <v>105</v>
      </c>
      <c r="H24" s="24" t="str">
        <f>IFERROR(__xludf.DUMMYFUNCTION("split(G24, "" "")"),"The")</f>
        <v>The</v>
      </c>
      <c r="I24" s="24" t="str">
        <f>IFERROR(__xludf.DUMMYFUNCTION("""COMPUTED_VALUE"""),"writer")</f>
        <v>writer</v>
      </c>
      <c r="J24" s="24" t="str">
        <f>IFERROR(__xludf.DUMMYFUNCTION("""COMPUTED_VALUE"""),"writes")</f>
        <v>writes</v>
      </c>
      <c r="K24" s="24" t="str">
        <f>IFERROR(__xludf.DUMMYFUNCTION("""COMPUTED_VALUE"""),"stories.")</f>
        <v>stories.</v>
      </c>
      <c r="L24" s="24"/>
      <c r="M24" s="24"/>
      <c r="N24" s="24"/>
      <c r="O24" s="24"/>
      <c r="P24" s="25">
        <v>4.0</v>
      </c>
      <c r="Q24" s="25">
        <v>1234.0</v>
      </c>
    </row>
    <row r="25" ht="25.5" customHeight="1">
      <c r="A25" s="11">
        <v>24.0</v>
      </c>
      <c r="B25" s="12" t="s">
        <v>11</v>
      </c>
      <c r="C25" s="13" t="s">
        <v>77</v>
      </c>
      <c r="D25" s="14" t="s">
        <v>106</v>
      </c>
      <c r="E25" s="15" t="s">
        <v>107</v>
      </c>
      <c r="F25" s="16" t="s">
        <v>108</v>
      </c>
      <c r="G25" s="17" t="s">
        <v>109</v>
      </c>
      <c r="H25" s="17" t="str">
        <f>IFERROR(__xludf.DUMMYFUNCTION("split(G25, "" "")"),"The")</f>
        <v>The</v>
      </c>
      <c r="I25" s="17" t="str">
        <f>IFERROR(__xludf.DUMMYFUNCTION("""COMPUTED_VALUE"""),"poet")</f>
        <v>poet</v>
      </c>
      <c r="J25" s="17" t="str">
        <f>IFERROR(__xludf.DUMMYFUNCTION("""COMPUTED_VALUE"""),"writes")</f>
        <v>writes</v>
      </c>
      <c r="K25" s="17" t="str">
        <f>IFERROR(__xludf.DUMMYFUNCTION("""COMPUTED_VALUE"""),"a")</f>
        <v>a</v>
      </c>
      <c r="L25" s="17" t="str">
        <f>IFERROR(__xludf.DUMMYFUNCTION("""COMPUTED_VALUE"""),"short")</f>
        <v>short</v>
      </c>
      <c r="M25" s="17" t="str">
        <f>IFERROR(__xludf.DUMMYFUNCTION("""COMPUTED_VALUE"""),"poem.")</f>
        <v>poem.</v>
      </c>
      <c r="N25" s="17"/>
      <c r="O25" s="17"/>
      <c r="P25" s="18">
        <v>5.0</v>
      </c>
      <c r="Q25" s="18">
        <v>12356.0</v>
      </c>
    </row>
    <row r="26" ht="25.5" customHeight="1">
      <c r="A26" s="3">
        <v>25.0</v>
      </c>
      <c r="B26" s="19" t="s">
        <v>11</v>
      </c>
      <c r="C26" s="20" t="s">
        <v>77</v>
      </c>
      <c r="D26" s="21" t="s">
        <v>110</v>
      </c>
      <c r="E26" s="22" t="s">
        <v>111</v>
      </c>
      <c r="F26" s="23" t="s">
        <v>112</v>
      </c>
      <c r="G26" s="24" t="s">
        <v>113</v>
      </c>
      <c r="H26" s="24" t="str">
        <f>IFERROR(__xludf.DUMMYFUNCTION("split(G26, "" "")"),"The")</f>
        <v>The</v>
      </c>
      <c r="I26" s="24" t="str">
        <f>IFERROR(__xludf.DUMMYFUNCTION("""COMPUTED_VALUE"""),"musician")</f>
        <v>musician</v>
      </c>
      <c r="J26" s="24" t="str">
        <f>IFERROR(__xludf.DUMMYFUNCTION("""COMPUTED_VALUE"""),"plays")</f>
        <v>plays</v>
      </c>
      <c r="K26" s="24" t="str">
        <f>IFERROR(__xludf.DUMMYFUNCTION("""COMPUTED_VALUE"""),"the")</f>
        <v>the</v>
      </c>
      <c r="L26" s="24" t="str">
        <f>IFERROR(__xludf.DUMMYFUNCTION("""COMPUTED_VALUE"""),"piano.")</f>
        <v>piano.</v>
      </c>
      <c r="M26" s="24"/>
      <c r="N26" s="24"/>
      <c r="O26" s="24"/>
      <c r="P26" s="25">
        <v>4.0</v>
      </c>
      <c r="Q26" s="25">
        <v>1235.0</v>
      </c>
    </row>
    <row r="27" ht="25.5" customHeight="1">
      <c r="A27" s="11">
        <v>26.0</v>
      </c>
      <c r="B27" s="19" t="s">
        <v>11</v>
      </c>
      <c r="C27" s="20" t="s">
        <v>77</v>
      </c>
      <c r="D27" s="21" t="s">
        <v>114</v>
      </c>
      <c r="E27" s="22" t="s">
        <v>115</v>
      </c>
      <c r="F27" s="23" t="s">
        <v>116</v>
      </c>
      <c r="G27" s="24" t="s">
        <v>117</v>
      </c>
      <c r="H27" s="24" t="str">
        <f>IFERROR(__xludf.DUMMYFUNCTION("split(G27, "" "")"),"The")</f>
        <v>The</v>
      </c>
      <c r="I27" s="24" t="str">
        <f>IFERROR(__xludf.DUMMYFUNCTION("""COMPUTED_VALUE"""),"photographer")</f>
        <v>photographer</v>
      </c>
      <c r="J27" s="24" t="str">
        <f>IFERROR(__xludf.DUMMYFUNCTION("""COMPUTED_VALUE"""),"takes")</f>
        <v>takes</v>
      </c>
      <c r="K27" s="24" t="str">
        <f>IFERROR(__xludf.DUMMYFUNCTION("""COMPUTED_VALUE"""),"photos.")</f>
        <v>photos.</v>
      </c>
      <c r="L27" s="24"/>
      <c r="M27" s="24"/>
      <c r="N27" s="24"/>
      <c r="O27" s="24"/>
      <c r="P27" s="25">
        <v>4.0</v>
      </c>
      <c r="Q27" s="25">
        <v>1234.0</v>
      </c>
    </row>
    <row r="28" ht="25.5" customHeight="1">
      <c r="A28" s="3">
        <v>27.0</v>
      </c>
      <c r="B28" s="12" t="s">
        <v>11</v>
      </c>
      <c r="C28" s="13" t="s">
        <v>77</v>
      </c>
      <c r="D28" s="14" t="s">
        <v>118</v>
      </c>
      <c r="E28" s="15" t="s">
        <v>119</v>
      </c>
      <c r="F28" s="16" t="s">
        <v>120</v>
      </c>
      <c r="G28" s="17" t="s">
        <v>121</v>
      </c>
      <c r="H28" s="17" t="str">
        <f>IFERROR(__xludf.DUMMYFUNCTION("split(G28, "" "")"),"The")</f>
        <v>The</v>
      </c>
      <c r="I28" s="17" t="str">
        <f>IFERROR(__xludf.DUMMYFUNCTION("""COMPUTED_VALUE"""),"designer")</f>
        <v>designer</v>
      </c>
      <c r="J28" s="17" t="str">
        <f>IFERROR(__xludf.DUMMYFUNCTION("""COMPUTED_VALUE"""),"makes")</f>
        <v>makes</v>
      </c>
      <c r="K28" s="17" t="str">
        <f>IFERROR(__xludf.DUMMYFUNCTION("""COMPUTED_VALUE"""),"a")</f>
        <v>a</v>
      </c>
      <c r="L28" s="17" t="str">
        <f>IFERROR(__xludf.DUMMYFUNCTION("""COMPUTED_VALUE"""),"new")</f>
        <v>new</v>
      </c>
      <c r="M28" s="17" t="str">
        <f>IFERROR(__xludf.DUMMYFUNCTION("""COMPUTED_VALUE"""),"dress.")</f>
        <v>dress.</v>
      </c>
      <c r="N28" s="17"/>
      <c r="O28" s="17"/>
      <c r="P28" s="18">
        <v>5.0</v>
      </c>
      <c r="Q28" s="18">
        <v>12356.0</v>
      </c>
    </row>
    <row r="29" ht="25.5" customHeight="1">
      <c r="A29" s="11">
        <v>28.0</v>
      </c>
      <c r="B29" s="19" t="s">
        <v>11</v>
      </c>
      <c r="C29" s="20" t="s">
        <v>77</v>
      </c>
      <c r="D29" s="21" t="s">
        <v>122</v>
      </c>
      <c r="E29" s="22" t="s">
        <v>123</v>
      </c>
      <c r="F29" s="23" t="s">
        <v>124</v>
      </c>
      <c r="G29" s="24" t="s">
        <v>125</v>
      </c>
      <c r="H29" s="24" t="str">
        <f>IFERROR(__xludf.DUMMYFUNCTION("split(G29, "" "")"),"The")</f>
        <v>The</v>
      </c>
      <c r="I29" s="24" t="str">
        <f>IFERROR(__xludf.DUMMYFUNCTION("""COMPUTED_VALUE"""),"audience")</f>
        <v>audience</v>
      </c>
      <c r="J29" s="24" t="str">
        <f>IFERROR(__xludf.DUMMYFUNCTION("""COMPUTED_VALUE"""),"claps")</f>
        <v>claps</v>
      </c>
      <c r="K29" s="24" t="str">
        <f>IFERROR(__xludf.DUMMYFUNCTION("""COMPUTED_VALUE"""),"loudly.")</f>
        <v>loudly.</v>
      </c>
      <c r="L29" s="24"/>
      <c r="M29" s="24"/>
      <c r="N29" s="24"/>
      <c r="O29" s="24"/>
      <c r="P29" s="25">
        <v>4.0</v>
      </c>
      <c r="Q29" s="25">
        <v>1234.0</v>
      </c>
    </row>
    <row r="30" ht="25.5" customHeight="1">
      <c r="A30" s="3">
        <v>29.0</v>
      </c>
      <c r="B30" s="12" t="s">
        <v>11</v>
      </c>
      <c r="C30" s="13" t="s">
        <v>77</v>
      </c>
      <c r="D30" s="14" t="s">
        <v>126</v>
      </c>
      <c r="E30" s="15" t="s">
        <v>127</v>
      </c>
      <c r="F30" s="16" t="s">
        <v>128</v>
      </c>
      <c r="G30" s="17" t="s">
        <v>129</v>
      </c>
      <c r="H30" s="17" t="str">
        <f>IFERROR(__xludf.DUMMYFUNCTION("split(G30, "" "")"),"The")</f>
        <v>The</v>
      </c>
      <c r="I30" s="17" t="str">
        <f>IFERROR(__xludf.DUMMYFUNCTION("""COMPUTED_VALUE"""),"fan")</f>
        <v>fan</v>
      </c>
      <c r="J30" s="17" t="str">
        <f>IFERROR(__xludf.DUMMYFUNCTION("""COMPUTED_VALUE"""),"likes")</f>
        <v>likes</v>
      </c>
      <c r="K30" s="17" t="str">
        <f>IFERROR(__xludf.DUMMYFUNCTION("""COMPUTED_VALUE"""),"the")</f>
        <v>the</v>
      </c>
      <c r="L30" s="17" t="str">
        <f>IFERROR(__xludf.DUMMYFUNCTION("""COMPUTED_VALUE"""),"singer.")</f>
        <v>singer.</v>
      </c>
      <c r="M30" s="17"/>
      <c r="N30" s="17"/>
      <c r="O30" s="17"/>
      <c r="P30" s="18">
        <v>4.0</v>
      </c>
      <c r="Q30" s="18">
        <v>1235.0</v>
      </c>
    </row>
    <row r="31" ht="25.5" customHeight="1">
      <c r="A31" s="11">
        <v>30.0</v>
      </c>
      <c r="B31" s="19" t="s">
        <v>11</v>
      </c>
      <c r="C31" s="20" t="s">
        <v>77</v>
      </c>
      <c r="D31" s="21" t="s">
        <v>130</v>
      </c>
      <c r="E31" s="22" t="s">
        <v>131</v>
      </c>
      <c r="F31" s="23" t="s">
        <v>132</v>
      </c>
      <c r="G31" s="24" t="s">
        <v>133</v>
      </c>
      <c r="H31" s="24" t="str">
        <f>IFERROR(__xludf.DUMMYFUNCTION("split(G31, "" "")"),"The")</f>
        <v>The</v>
      </c>
      <c r="I31" s="24" t="str">
        <f>IFERROR(__xludf.DUMMYFUNCTION("""COMPUTED_VALUE"""),"teacher")</f>
        <v>teacher</v>
      </c>
      <c r="J31" s="24" t="str">
        <f>IFERROR(__xludf.DUMMYFUNCTION("""COMPUTED_VALUE"""),"teaches")</f>
        <v>teaches</v>
      </c>
      <c r="K31" s="24" t="str">
        <f>IFERROR(__xludf.DUMMYFUNCTION("""COMPUTED_VALUE"""),"art.")</f>
        <v>art.</v>
      </c>
      <c r="L31" s="24"/>
      <c r="M31" s="24"/>
      <c r="N31" s="24"/>
      <c r="O31" s="24"/>
      <c r="P31" s="25">
        <v>4.0</v>
      </c>
      <c r="Q31" s="25">
        <v>1234.0</v>
      </c>
    </row>
    <row r="32" ht="25.5" customHeight="1">
      <c r="A32" s="3">
        <v>31.0</v>
      </c>
      <c r="B32" s="12" t="s">
        <v>11</v>
      </c>
      <c r="C32" s="13" t="s">
        <v>77</v>
      </c>
      <c r="D32" s="14" t="s">
        <v>134</v>
      </c>
      <c r="E32" s="15" t="s">
        <v>135</v>
      </c>
      <c r="F32" s="16" t="s">
        <v>136</v>
      </c>
      <c r="G32" s="17" t="s">
        <v>137</v>
      </c>
      <c r="H32" s="17" t="str">
        <f>IFERROR(__xludf.DUMMYFUNCTION("split(G32, "" "")"),"The")</f>
        <v>The</v>
      </c>
      <c r="I32" s="17" t="str">
        <f>IFERROR(__xludf.DUMMYFUNCTION("""COMPUTED_VALUE"""),"student")</f>
        <v>student</v>
      </c>
      <c r="J32" s="17" t="str">
        <f>IFERROR(__xludf.DUMMYFUNCTION("""COMPUTED_VALUE"""),"draws")</f>
        <v>draws</v>
      </c>
      <c r="K32" s="17" t="str">
        <f>IFERROR(__xludf.DUMMYFUNCTION("""COMPUTED_VALUE"""),"a")</f>
        <v>a</v>
      </c>
      <c r="L32" s="17" t="str">
        <f>IFERROR(__xludf.DUMMYFUNCTION("""COMPUTED_VALUE"""),"house.")</f>
        <v>house.</v>
      </c>
      <c r="M32" s="17"/>
      <c r="N32" s="17"/>
      <c r="O32" s="17"/>
      <c r="P32" s="18">
        <v>4.0</v>
      </c>
      <c r="Q32" s="18">
        <v>1235.0</v>
      </c>
    </row>
    <row r="33" ht="25.5" customHeight="1">
      <c r="A33" s="11">
        <v>32.0</v>
      </c>
      <c r="B33" s="19" t="s">
        <v>11</v>
      </c>
      <c r="C33" s="20" t="s">
        <v>77</v>
      </c>
      <c r="D33" s="21" t="s">
        <v>138</v>
      </c>
      <c r="E33" s="22" t="s">
        <v>139</v>
      </c>
      <c r="F33" s="23" t="s">
        <v>140</v>
      </c>
      <c r="G33" s="26" t="s">
        <v>141</v>
      </c>
      <c r="H33" s="24" t="str">
        <f>IFERROR(__xludf.DUMMYFUNCTION("split(G33, "" "")"),"The")</f>
        <v>The</v>
      </c>
      <c r="I33" s="24" t="str">
        <f>IFERROR(__xludf.DUMMYFUNCTION("""COMPUTED_VALUE"""),"band")</f>
        <v>band</v>
      </c>
      <c r="J33" s="24" t="str">
        <f>IFERROR(__xludf.DUMMYFUNCTION("""COMPUTED_VALUE"""),"plays")</f>
        <v>plays</v>
      </c>
      <c r="K33" s="24" t="str">
        <f>IFERROR(__xludf.DUMMYFUNCTION("""COMPUTED_VALUE"""),"a")</f>
        <v>a</v>
      </c>
      <c r="L33" s="24" t="str">
        <f>IFERROR(__xludf.DUMMYFUNCTION("""COMPUTED_VALUE"""),"new")</f>
        <v>new</v>
      </c>
      <c r="M33" s="24" t="str">
        <f>IFERROR(__xludf.DUMMYFUNCTION("""COMPUTED_VALUE"""),"song.")</f>
        <v>song.</v>
      </c>
      <c r="N33" s="24"/>
      <c r="O33" s="24"/>
      <c r="P33" s="25">
        <v>4.0</v>
      </c>
      <c r="Q33" s="25">
        <v>1256.0</v>
      </c>
    </row>
    <row r="34" ht="25.5" customHeight="1">
      <c r="A34" s="3">
        <v>33.0</v>
      </c>
      <c r="B34" s="12" t="s">
        <v>11</v>
      </c>
      <c r="C34" s="13" t="s">
        <v>77</v>
      </c>
      <c r="D34" s="14" t="s">
        <v>142</v>
      </c>
      <c r="E34" s="15" t="s">
        <v>143</v>
      </c>
      <c r="F34" s="16" t="s">
        <v>144</v>
      </c>
      <c r="G34" s="17" t="s">
        <v>145</v>
      </c>
      <c r="H34" s="17" t="str">
        <f>IFERROR(__xludf.DUMMYFUNCTION("split(G34, "" "")"),"The")</f>
        <v>The</v>
      </c>
      <c r="I34" s="17" t="str">
        <f>IFERROR(__xludf.DUMMYFUNCTION("""COMPUTED_VALUE"""),"film")</f>
        <v>film</v>
      </c>
      <c r="J34" s="17" t="str">
        <f>IFERROR(__xludf.DUMMYFUNCTION("""COMPUTED_VALUE"""),"team")</f>
        <v>team</v>
      </c>
      <c r="K34" s="17" t="str">
        <f>IFERROR(__xludf.DUMMYFUNCTION("""COMPUTED_VALUE"""),"works")</f>
        <v>works</v>
      </c>
      <c r="L34" s="17" t="str">
        <f>IFERROR(__xludf.DUMMYFUNCTION("""COMPUTED_VALUE"""),"hard.")</f>
        <v>hard.</v>
      </c>
      <c r="M34" s="17"/>
      <c r="N34" s="17"/>
      <c r="O34" s="17"/>
      <c r="P34" s="18">
        <v>5.0</v>
      </c>
      <c r="Q34" s="18">
        <v>12345.0</v>
      </c>
    </row>
    <row r="35" ht="25.5" customHeight="1">
      <c r="A35" s="11">
        <v>34.0</v>
      </c>
      <c r="B35" s="19" t="s">
        <v>11</v>
      </c>
      <c r="C35" s="20" t="s">
        <v>77</v>
      </c>
      <c r="D35" s="21" t="s">
        <v>146</v>
      </c>
      <c r="E35" s="22" t="s">
        <v>147</v>
      </c>
      <c r="F35" s="23" t="s">
        <v>148</v>
      </c>
      <c r="G35" s="26" t="s">
        <v>149</v>
      </c>
      <c r="H35" s="24" t="str">
        <f>IFERROR(__xludf.DUMMYFUNCTION("split(G35, "" "")"),"The")</f>
        <v>The</v>
      </c>
      <c r="I35" s="24" t="str">
        <f>IFERROR(__xludf.DUMMYFUNCTION("""COMPUTED_VALUE"""),"star")</f>
        <v>star</v>
      </c>
      <c r="J35" s="24" t="str">
        <f>IFERROR(__xludf.DUMMYFUNCTION("""COMPUTED_VALUE"""),"acts")</f>
        <v>acts</v>
      </c>
      <c r="K35" s="24" t="str">
        <f>IFERROR(__xludf.DUMMYFUNCTION("""COMPUTED_VALUE"""),"very")</f>
        <v>very</v>
      </c>
      <c r="L35" s="24" t="str">
        <f>IFERROR(__xludf.DUMMYFUNCTION("""COMPUTED_VALUE"""),"well.")</f>
        <v>well.</v>
      </c>
      <c r="M35" s="24"/>
      <c r="N35" s="24"/>
      <c r="O35" s="24"/>
      <c r="P35" s="25">
        <v>4.0</v>
      </c>
      <c r="Q35" s="25">
        <v>1235.0</v>
      </c>
    </row>
    <row r="36" ht="25.5" customHeight="1">
      <c r="A36" s="3">
        <v>35.0</v>
      </c>
      <c r="B36" s="12" t="s">
        <v>11</v>
      </c>
      <c r="C36" s="13" t="s">
        <v>77</v>
      </c>
      <c r="D36" s="14" t="s">
        <v>150</v>
      </c>
      <c r="E36" s="15" t="s">
        <v>151</v>
      </c>
      <c r="F36" s="16" t="s">
        <v>152</v>
      </c>
      <c r="G36" s="17" t="s">
        <v>153</v>
      </c>
      <c r="H36" s="17" t="str">
        <f>IFERROR(__xludf.DUMMYFUNCTION("split(G36, "" "")"),"The")</f>
        <v>The</v>
      </c>
      <c r="I36" s="17" t="str">
        <f>IFERROR(__xludf.DUMMYFUNCTION("""COMPUTED_VALUE"""),"visitor")</f>
        <v>visitor</v>
      </c>
      <c r="J36" s="17" t="str">
        <f>IFERROR(__xludf.DUMMYFUNCTION("""COMPUTED_VALUE"""),"looks")</f>
        <v>looks</v>
      </c>
      <c r="K36" s="17" t="str">
        <f>IFERROR(__xludf.DUMMYFUNCTION("""COMPUTED_VALUE"""),"at")</f>
        <v>at</v>
      </c>
      <c r="L36" s="17" t="str">
        <f>IFERROR(__xludf.DUMMYFUNCTION("""COMPUTED_VALUE"""),"the")</f>
        <v>the</v>
      </c>
      <c r="M36" s="17" t="str">
        <f>IFERROR(__xludf.DUMMYFUNCTION("""COMPUTED_VALUE"""),"art.")</f>
        <v>art.</v>
      </c>
      <c r="N36" s="17"/>
      <c r="O36" s="17"/>
      <c r="P36" s="18">
        <v>4.0</v>
      </c>
      <c r="Q36" s="18">
        <v>1236.0</v>
      </c>
    </row>
    <row r="37" ht="25.5" customHeight="1">
      <c r="A37" s="11">
        <v>36.0</v>
      </c>
      <c r="B37" s="19" t="s">
        <v>11</v>
      </c>
      <c r="C37" s="20" t="s">
        <v>154</v>
      </c>
      <c r="D37" s="21" t="s">
        <v>155</v>
      </c>
      <c r="E37" s="22" t="s">
        <v>156</v>
      </c>
      <c r="F37" s="23" t="s">
        <v>157</v>
      </c>
      <c r="G37" s="24" t="s">
        <v>158</v>
      </c>
      <c r="H37" s="24" t="str">
        <f>IFERROR(__xludf.DUMMYFUNCTION("split(G37, "" "")"),"I")</f>
        <v>I</v>
      </c>
      <c r="I37" s="24" t="str">
        <f>IFERROR(__xludf.DUMMYFUNCTION("""COMPUTED_VALUE"""),"paint")</f>
        <v>paint</v>
      </c>
      <c r="J37" s="24" t="str">
        <f>IFERROR(__xludf.DUMMYFUNCTION("""COMPUTED_VALUE"""),"with")</f>
        <v>with</v>
      </c>
      <c r="K37" s="24" t="str">
        <f>IFERROR(__xludf.DUMMYFUNCTION("""COMPUTED_VALUE"""),"a")</f>
        <v>a</v>
      </c>
      <c r="L37" s="24" t="str">
        <f>IFERROR(__xludf.DUMMYFUNCTION("""COMPUTED_VALUE"""),"brush.")</f>
        <v>brush.</v>
      </c>
      <c r="M37" s="24"/>
      <c r="N37" s="24"/>
      <c r="O37" s="24"/>
      <c r="P37" s="25">
        <v>3.0</v>
      </c>
      <c r="Q37" s="25">
        <v>125.0</v>
      </c>
    </row>
    <row r="38" ht="25.5" customHeight="1">
      <c r="A38" s="3">
        <v>37.0</v>
      </c>
      <c r="B38" s="12" t="s">
        <v>11</v>
      </c>
      <c r="C38" s="13" t="s">
        <v>154</v>
      </c>
      <c r="D38" s="14" t="s">
        <v>159</v>
      </c>
      <c r="E38" s="15" t="s">
        <v>160</v>
      </c>
      <c r="F38" s="16" t="s">
        <v>161</v>
      </c>
      <c r="G38" s="17" t="s">
        <v>162</v>
      </c>
      <c r="H38" s="17" t="str">
        <f>IFERROR(__xludf.DUMMYFUNCTION("split(G38, "" "")"),"The")</f>
        <v>The</v>
      </c>
      <c r="I38" s="17" t="str">
        <f>IFERROR(__xludf.DUMMYFUNCTION("""COMPUTED_VALUE"""),"paint")</f>
        <v>paint</v>
      </c>
      <c r="J38" s="17" t="str">
        <f>IFERROR(__xludf.DUMMYFUNCTION("""COMPUTED_VALUE"""),"is")</f>
        <v>is</v>
      </c>
      <c r="K38" s="17" t="str">
        <f>IFERROR(__xludf.DUMMYFUNCTION("""COMPUTED_VALUE"""),"red.")</f>
        <v>red.</v>
      </c>
      <c r="L38" s="17"/>
      <c r="M38" s="17"/>
      <c r="N38" s="17"/>
      <c r="O38" s="17"/>
      <c r="P38" s="18">
        <v>3.0</v>
      </c>
      <c r="Q38" s="18">
        <v>124.0</v>
      </c>
    </row>
    <row r="39" ht="25.5" customHeight="1">
      <c r="A39" s="11">
        <v>38.0</v>
      </c>
      <c r="B39" s="19" t="s">
        <v>11</v>
      </c>
      <c r="C39" s="20" t="s">
        <v>154</v>
      </c>
      <c r="D39" s="21" t="s">
        <v>163</v>
      </c>
      <c r="E39" s="22" t="s">
        <v>164</v>
      </c>
      <c r="F39" s="23" t="s">
        <v>165</v>
      </c>
      <c r="G39" s="24" t="s">
        <v>166</v>
      </c>
      <c r="H39" s="24" t="str">
        <f>IFERROR(__xludf.DUMMYFUNCTION("split(G39, "" "")"),"I")</f>
        <v>I</v>
      </c>
      <c r="I39" s="24" t="str">
        <f>IFERROR(__xludf.DUMMYFUNCTION("""COMPUTED_VALUE"""),"draw")</f>
        <v>draw</v>
      </c>
      <c r="J39" s="24" t="str">
        <f>IFERROR(__xludf.DUMMYFUNCTION("""COMPUTED_VALUE"""),"with")</f>
        <v>with</v>
      </c>
      <c r="K39" s="24" t="str">
        <f>IFERROR(__xludf.DUMMYFUNCTION("""COMPUTED_VALUE"""),"a")</f>
        <v>a</v>
      </c>
      <c r="L39" s="24" t="str">
        <f>IFERROR(__xludf.DUMMYFUNCTION("""COMPUTED_VALUE"""),"pencil.")</f>
        <v>pencil.</v>
      </c>
      <c r="M39" s="24"/>
      <c r="N39" s="24"/>
      <c r="O39" s="24"/>
      <c r="P39" s="25">
        <v>3.0</v>
      </c>
      <c r="Q39" s="25">
        <v>125.0</v>
      </c>
    </row>
    <row r="40" ht="25.5" customHeight="1">
      <c r="A40" s="3">
        <v>39.0</v>
      </c>
      <c r="B40" s="12" t="s">
        <v>11</v>
      </c>
      <c r="C40" s="13" t="s">
        <v>154</v>
      </c>
      <c r="D40" s="14" t="s">
        <v>167</v>
      </c>
      <c r="E40" s="15" t="s">
        <v>168</v>
      </c>
      <c r="F40" s="16" t="s">
        <v>169</v>
      </c>
      <c r="G40" s="17" t="s">
        <v>170</v>
      </c>
      <c r="H40" s="17" t="str">
        <f>IFERROR(__xludf.DUMMYFUNCTION("split(G40, "" "")"),"She")</f>
        <v>She</v>
      </c>
      <c r="I40" s="17" t="str">
        <f>IFERROR(__xludf.DUMMYFUNCTION("""COMPUTED_VALUE"""),"writes")</f>
        <v>writes</v>
      </c>
      <c r="J40" s="17" t="str">
        <f>IFERROR(__xludf.DUMMYFUNCTION("""COMPUTED_VALUE"""),"with")</f>
        <v>with</v>
      </c>
      <c r="K40" s="17" t="str">
        <f>IFERROR(__xludf.DUMMYFUNCTION("""COMPUTED_VALUE"""),"a")</f>
        <v>a</v>
      </c>
      <c r="L40" s="17" t="str">
        <f>IFERROR(__xludf.DUMMYFUNCTION("""COMPUTED_VALUE"""),"black")</f>
        <v>black</v>
      </c>
      <c r="M40" s="17" t="str">
        <f>IFERROR(__xludf.DUMMYFUNCTION("""COMPUTED_VALUE"""),"pen.")</f>
        <v>pen.</v>
      </c>
      <c r="N40" s="17"/>
      <c r="O40" s="17"/>
      <c r="P40" s="18">
        <v>4.0</v>
      </c>
      <c r="Q40" s="18">
        <v>1256.0</v>
      </c>
    </row>
    <row r="41" ht="25.5" customHeight="1">
      <c r="A41" s="11">
        <v>40.0</v>
      </c>
      <c r="B41" s="19" t="s">
        <v>11</v>
      </c>
      <c r="C41" s="20" t="s">
        <v>154</v>
      </c>
      <c r="D41" s="21" t="s">
        <v>171</v>
      </c>
      <c r="E41" s="22" t="s">
        <v>172</v>
      </c>
      <c r="F41" s="23" t="s">
        <v>173</v>
      </c>
      <c r="G41" s="24" t="s">
        <v>174</v>
      </c>
      <c r="H41" s="24" t="str">
        <f>IFERROR(__xludf.DUMMYFUNCTION("split(G41, "" "")"),"This")</f>
        <v>This</v>
      </c>
      <c r="I41" s="24" t="str">
        <f>IFERROR(__xludf.DUMMYFUNCTION("""COMPUTED_VALUE"""),"paper")</f>
        <v>paper</v>
      </c>
      <c r="J41" s="24" t="str">
        <f>IFERROR(__xludf.DUMMYFUNCTION("""COMPUTED_VALUE"""),"is")</f>
        <v>is</v>
      </c>
      <c r="K41" s="24" t="str">
        <f>IFERROR(__xludf.DUMMYFUNCTION("""COMPUTED_VALUE"""),"white.")</f>
        <v>white.</v>
      </c>
      <c r="L41" s="24"/>
      <c r="M41" s="24"/>
      <c r="N41" s="24"/>
      <c r="O41" s="24"/>
      <c r="P41" s="25">
        <v>3.0</v>
      </c>
      <c r="Q41" s="25">
        <v>124.0</v>
      </c>
    </row>
    <row r="42" ht="25.5" customHeight="1">
      <c r="A42" s="3">
        <v>41.0</v>
      </c>
      <c r="B42" s="12" t="s">
        <v>11</v>
      </c>
      <c r="C42" s="13" t="s">
        <v>154</v>
      </c>
      <c r="D42" s="14" t="s">
        <v>175</v>
      </c>
      <c r="E42" s="15" t="s">
        <v>176</v>
      </c>
      <c r="F42" s="16" t="s">
        <v>177</v>
      </c>
      <c r="G42" s="17" t="s">
        <v>178</v>
      </c>
      <c r="H42" s="17" t="str">
        <f>IFERROR(__xludf.DUMMYFUNCTION("split(G42, "" "")"),"The")</f>
        <v>The</v>
      </c>
      <c r="I42" s="17" t="str">
        <f>IFERROR(__xludf.DUMMYFUNCTION("""COMPUTED_VALUE"""),"canvas")</f>
        <v>canvas</v>
      </c>
      <c r="J42" s="17" t="str">
        <f>IFERROR(__xludf.DUMMYFUNCTION("""COMPUTED_VALUE"""),"is")</f>
        <v>is</v>
      </c>
      <c r="K42" s="17" t="str">
        <f>IFERROR(__xludf.DUMMYFUNCTION("""COMPUTED_VALUE"""),"on")</f>
        <v>on</v>
      </c>
      <c r="L42" s="17" t="str">
        <f>IFERROR(__xludf.DUMMYFUNCTION("""COMPUTED_VALUE"""),"the")</f>
        <v>the</v>
      </c>
      <c r="M42" s="17" t="str">
        <f>IFERROR(__xludf.DUMMYFUNCTION("""COMPUTED_VALUE"""),"wall.")</f>
        <v>wall.</v>
      </c>
      <c r="N42" s="17"/>
      <c r="O42" s="17"/>
      <c r="P42" s="18">
        <v>3.0</v>
      </c>
      <c r="Q42" s="18">
        <v>126.0</v>
      </c>
    </row>
    <row r="43" ht="25.5" customHeight="1">
      <c r="A43" s="11">
        <v>42.0</v>
      </c>
      <c r="B43" s="19" t="s">
        <v>11</v>
      </c>
      <c r="C43" s="20" t="s">
        <v>154</v>
      </c>
      <c r="D43" s="21" t="s">
        <v>179</v>
      </c>
      <c r="E43" s="22" t="s">
        <v>180</v>
      </c>
      <c r="F43" s="23" t="s">
        <v>181</v>
      </c>
      <c r="G43" s="24" t="s">
        <v>182</v>
      </c>
      <c r="H43" s="24" t="str">
        <f>IFERROR(__xludf.DUMMYFUNCTION("split(G43, "" "")"),"Blue")</f>
        <v>Blue</v>
      </c>
      <c r="I43" s="24" t="str">
        <f>IFERROR(__xludf.DUMMYFUNCTION("""COMPUTED_VALUE"""),"is")</f>
        <v>is</v>
      </c>
      <c r="J43" s="24" t="str">
        <f>IFERROR(__xludf.DUMMYFUNCTION("""COMPUTED_VALUE"""),"my")</f>
        <v>my</v>
      </c>
      <c r="K43" s="24" t="str">
        <f>IFERROR(__xludf.DUMMYFUNCTION("""COMPUTED_VALUE"""),"favorite")</f>
        <v>favorite</v>
      </c>
      <c r="L43" s="24" t="str">
        <f>IFERROR(__xludf.DUMMYFUNCTION("""COMPUTED_VALUE"""),"color.")</f>
        <v>color.</v>
      </c>
      <c r="M43" s="24"/>
      <c r="N43" s="24"/>
      <c r="O43" s="24"/>
      <c r="P43" s="25">
        <v>3.0</v>
      </c>
      <c r="Q43" s="25">
        <v>145.0</v>
      </c>
    </row>
    <row r="44" ht="25.5" customHeight="1">
      <c r="A44" s="3">
        <v>43.0</v>
      </c>
      <c r="B44" s="12" t="s">
        <v>11</v>
      </c>
      <c r="C44" s="13" t="s">
        <v>154</v>
      </c>
      <c r="D44" s="14" t="s">
        <v>183</v>
      </c>
      <c r="E44" s="15" t="s">
        <v>184</v>
      </c>
      <c r="F44" s="16" t="s">
        <v>185</v>
      </c>
      <c r="G44" s="17" t="s">
        <v>186</v>
      </c>
      <c r="H44" s="17" t="str">
        <f>IFERROR(__xludf.DUMMYFUNCTION("split(G44, "" "")"),"She")</f>
        <v>She</v>
      </c>
      <c r="I44" s="17" t="str">
        <f>IFERROR(__xludf.DUMMYFUNCTION("""COMPUTED_VALUE"""),"plays")</f>
        <v>plays</v>
      </c>
      <c r="J44" s="17" t="str">
        <f>IFERROR(__xludf.DUMMYFUNCTION("""COMPUTED_VALUE"""),"the")</f>
        <v>the</v>
      </c>
      <c r="K44" s="17" t="str">
        <f>IFERROR(__xludf.DUMMYFUNCTION("""COMPUTED_VALUE"""),"piano")</f>
        <v>piano</v>
      </c>
      <c r="L44" s="17" t="str">
        <f>IFERROR(__xludf.DUMMYFUNCTION("""COMPUTED_VALUE"""),"every")</f>
        <v>every</v>
      </c>
      <c r="M44" s="17" t="str">
        <f>IFERROR(__xludf.DUMMYFUNCTION("""COMPUTED_VALUE"""),"day.")</f>
        <v>day.</v>
      </c>
      <c r="N44" s="17"/>
      <c r="O44" s="17"/>
      <c r="P44" s="18">
        <v>4.0</v>
      </c>
      <c r="Q44" s="18">
        <v>1246.0</v>
      </c>
    </row>
    <row r="45" ht="25.5" customHeight="1">
      <c r="A45" s="11">
        <v>44.0</v>
      </c>
      <c r="B45" s="19" t="s">
        <v>11</v>
      </c>
      <c r="C45" s="20" t="s">
        <v>154</v>
      </c>
      <c r="D45" s="21" t="s">
        <v>187</v>
      </c>
      <c r="E45" s="22" t="s">
        <v>188</v>
      </c>
      <c r="F45" s="23" t="s">
        <v>189</v>
      </c>
      <c r="G45" s="24" t="s">
        <v>190</v>
      </c>
      <c r="H45" s="24" t="str">
        <f>IFERROR(__xludf.DUMMYFUNCTION("split(G45, "" "")"),"The")</f>
        <v>The</v>
      </c>
      <c r="I45" s="24" t="str">
        <f>IFERROR(__xludf.DUMMYFUNCTION("""COMPUTED_VALUE"""),"drum")</f>
        <v>drum</v>
      </c>
      <c r="J45" s="24" t="str">
        <f>IFERROR(__xludf.DUMMYFUNCTION("""COMPUTED_VALUE"""),"is")</f>
        <v>is</v>
      </c>
      <c r="K45" s="24" t="str">
        <f>IFERROR(__xludf.DUMMYFUNCTION("""COMPUTED_VALUE"""),"very")</f>
        <v>very</v>
      </c>
      <c r="L45" s="24" t="str">
        <f>IFERROR(__xludf.DUMMYFUNCTION("""COMPUTED_VALUE"""),"loud.")</f>
        <v>loud.</v>
      </c>
      <c r="M45" s="24"/>
      <c r="N45" s="24"/>
      <c r="O45" s="24"/>
      <c r="P45" s="25">
        <v>3.0</v>
      </c>
      <c r="Q45" s="25">
        <v>125.0</v>
      </c>
    </row>
    <row r="46" ht="25.5" customHeight="1">
      <c r="A46" s="3">
        <v>45.0</v>
      </c>
      <c r="B46" s="12" t="s">
        <v>11</v>
      </c>
      <c r="C46" s="13" t="s">
        <v>154</v>
      </c>
      <c r="D46" s="14" t="s">
        <v>191</v>
      </c>
      <c r="E46" s="15" t="s">
        <v>192</v>
      </c>
      <c r="F46" s="16" t="s">
        <v>193</v>
      </c>
      <c r="G46" s="17" t="s">
        <v>194</v>
      </c>
      <c r="H46" s="17" t="str">
        <f>IFERROR(__xludf.DUMMYFUNCTION("split(G46, "" "")"),"The")</f>
        <v>The</v>
      </c>
      <c r="I46" s="17" t="str">
        <f>IFERROR(__xludf.DUMMYFUNCTION("""COMPUTED_VALUE"""),"violin")</f>
        <v>violin</v>
      </c>
      <c r="J46" s="17" t="str">
        <f>IFERROR(__xludf.DUMMYFUNCTION("""COMPUTED_VALUE"""),"sounds")</f>
        <v>sounds</v>
      </c>
      <c r="K46" s="17" t="str">
        <f>IFERROR(__xludf.DUMMYFUNCTION("""COMPUTED_VALUE"""),"beautiful.")</f>
        <v>beautiful.</v>
      </c>
      <c r="L46" s="17"/>
      <c r="M46" s="17"/>
      <c r="N46" s="17"/>
      <c r="O46" s="17"/>
      <c r="P46" s="18">
        <v>4.0</v>
      </c>
      <c r="Q46" s="18">
        <v>1234.0</v>
      </c>
    </row>
    <row r="47" ht="25.5" customHeight="1">
      <c r="A47" s="11">
        <v>46.0</v>
      </c>
      <c r="B47" s="19" t="s">
        <v>11</v>
      </c>
      <c r="C47" s="20" t="s">
        <v>154</v>
      </c>
      <c r="D47" s="21" t="s">
        <v>195</v>
      </c>
      <c r="E47" s="22" t="s">
        <v>196</v>
      </c>
      <c r="F47" s="23" t="s">
        <v>197</v>
      </c>
      <c r="G47" s="24" t="s">
        <v>198</v>
      </c>
      <c r="H47" s="24" t="str">
        <f>IFERROR(__xludf.DUMMYFUNCTION("split(G47, "" "")"),"Sing")</f>
        <v>Sing</v>
      </c>
      <c r="I47" s="24" t="str">
        <f>IFERROR(__xludf.DUMMYFUNCTION("""COMPUTED_VALUE"""),"into")</f>
        <v>into</v>
      </c>
      <c r="J47" s="24" t="str">
        <f>IFERROR(__xludf.DUMMYFUNCTION("""COMPUTED_VALUE"""),"the")</f>
        <v>the</v>
      </c>
      <c r="K47" s="24" t="str">
        <f>IFERROR(__xludf.DUMMYFUNCTION("""COMPUTED_VALUE"""),"microphone.")</f>
        <v>microphone.</v>
      </c>
      <c r="L47" s="24"/>
      <c r="M47" s="24"/>
      <c r="N47" s="24"/>
      <c r="O47" s="24"/>
      <c r="P47" s="25">
        <v>2.0</v>
      </c>
      <c r="Q47" s="25">
        <v>14.0</v>
      </c>
    </row>
    <row r="48" ht="25.5" customHeight="1">
      <c r="A48" s="3">
        <v>47.0</v>
      </c>
      <c r="B48" s="12" t="s">
        <v>11</v>
      </c>
      <c r="C48" s="13" t="s">
        <v>154</v>
      </c>
      <c r="D48" s="14" t="s">
        <v>199</v>
      </c>
      <c r="E48" s="15" t="s">
        <v>200</v>
      </c>
      <c r="F48" s="16" t="s">
        <v>201</v>
      </c>
      <c r="G48" s="17" t="s">
        <v>202</v>
      </c>
      <c r="H48" s="17" t="str">
        <f>IFERROR(__xludf.DUMMYFUNCTION("split(G48, "" "")"),"The")</f>
        <v>The</v>
      </c>
      <c r="I48" s="17" t="str">
        <f>IFERROR(__xludf.DUMMYFUNCTION("""COMPUTED_VALUE"""),"singer")</f>
        <v>singer</v>
      </c>
      <c r="J48" s="17" t="str">
        <f>IFERROR(__xludf.DUMMYFUNCTION("""COMPUTED_VALUE"""),"stands")</f>
        <v>stands</v>
      </c>
      <c r="K48" s="17" t="str">
        <f>IFERROR(__xludf.DUMMYFUNCTION("""COMPUTED_VALUE"""),"on")</f>
        <v>on</v>
      </c>
      <c r="L48" s="17" t="str">
        <f>IFERROR(__xludf.DUMMYFUNCTION("""COMPUTED_VALUE"""),"the")</f>
        <v>the</v>
      </c>
      <c r="M48" s="17" t="str">
        <f>IFERROR(__xludf.DUMMYFUNCTION("""COMPUTED_VALUE"""),"stage.")</f>
        <v>stage.</v>
      </c>
      <c r="N48" s="17"/>
      <c r="O48" s="17"/>
      <c r="P48" s="18">
        <v>4.0</v>
      </c>
      <c r="Q48" s="18">
        <v>1236.0</v>
      </c>
    </row>
    <row r="49" ht="25.5" customHeight="1">
      <c r="A49" s="11">
        <v>48.0</v>
      </c>
      <c r="B49" s="19" t="s">
        <v>11</v>
      </c>
      <c r="C49" s="20" t="s">
        <v>154</v>
      </c>
      <c r="D49" s="21" t="s">
        <v>203</v>
      </c>
      <c r="E49" s="22" t="s">
        <v>204</v>
      </c>
      <c r="F49" s="23" t="s">
        <v>205</v>
      </c>
      <c r="G49" s="24" t="s">
        <v>206</v>
      </c>
      <c r="H49" s="24" t="str">
        <f>IFERROR(__xludf.DUMMYFUNCTION("split(G49, "" "")"),"The")</f>
        <v>The</v>
      </c>
      <c r="I49" s="24" t="str">
        <f>IFERROR(__xludf.DUMMYFUNCTION("""COMPUTED_VALUE"""),"light")</f>
        <v>light</v>
      </c>
      <c r="J49" s="24" t="str">
        <f>IFERROR(__xludf.DUMMYFUNCTION("""COMPUTED_VALUE"""),"is")</f>
        <v>is</v>
      </c>
      <c r="K49" s="24" t="str">
        <f>IFERROR(__xludf.DUMMYFUNCTION("""COMPUTED_VALUE"""),"very")</f>
        <v>very</v>
      </c>
      <c r="L49" s="24" t="str">
        <f>IFERROR(__xludf.DUMMYFUNCTION("""COMPUTED_VALUE"""),"bright.")</f>
        <v>bright.</v>
      </c>
      <c r="M49" s="24"/>
      <c r="N49" s="24"/>
      <c r="O49" s="24"/>
      <c r="P49" s="25">
        <v>3.0</v>
      </c>
      <c r="Q49" s="25">
        <v>125.0</v>
      </c>
    </row>
    <row r="50" ht="25.5" customHeight="1">
      <c r="A50" s="3">
        <v>49.0</v>
      </c>
      <c r="B50" s="12" t="s">
        <v>11</v>
      </c>
      <c r="C50" s="13" t="s">
        <v>154</v>
      </c>
      <c r="D50" s="14" t="s">
        <v>207</v>
      </c>
      <c r="E50" s="15" t="s">
        <v>208</v>
      </c>
      <c r="F50" s="16" t="s">
        <v>209</v>
      </c>
      <c r="G50" s="17" t="s">
        <v>210</v>
      </c>
      <c r="H50" s="17" t="str">
        <f>IFERROR(__xludf.DUMMYFUNCTION("split(G50, "" "")"),"I")</f>
        <v>I</v>
      </c>
      <c r="I50" s="17" t="str">
        <f>IFERROR(__xludf.DUMMYFUNCTION("""COMPUTED_VALUE"""),"buy")</f>
        <v>buy</v>
      </c>
      <c r="J50" s="17" t="str">
        <f>IFERROR(__xludf.DUMMYFUNCTION("""COMPUTED_VALUE"""),"a")</f>
        <v>a</v>
      </c>
      <c r="K50" s="17" t="str">
        <f>IFERROR(__xludf.DUMMYFUNCTION("""COMPUTED_VALUE"""),"concert")</f>
        <v>concert</v>
      </c>
      <c r="L50" s="17" t="str">
        <f>IFERROR(__xludf.DUMMYFUNCTION("""COMPUTED_VALUE"""),"ticket.")</f>
        <v>ticket.</v>
      </c>
      <c r="M50" s="17"/>
      <c r="N50" s="17"/>
      <c r="O50" s="17"/>
      <c r="P50" s="18">
        <v>4.0</v>
      </c>
      <c r="Q50" s="18">
        <v>1245.0</v>
      </c>
    </row>
    <row r="51" ht="25.5" customHeight="1">
      <c r="A51" s="11">
        <v>50.0</v>
      </c>
      <c r="B51" s="19" t="s">
        <v>11</v>
      </c>
      <c r="C51" s="20" t="s">
        <v>154</v>
      </c>
      <c r="D51" s="21" t="s">
        <v>211</v>
      </c>
      <c r="E51" s="22" t="s">
        <v>212</v>
      </c>
      <c r="F51" s="23" t="s">
        <v>213</v>
      </c>
      <c r="G51" s="24" t="s">
        <v>214</v>
      </c>
      <c r="H51" s="24" t="str">
        <f>IFERROR(__xludf.DUMMYFUNCTION("split(G51, "" "")"),"The")</f>
        <v>The</v>
      </c>
      <c r="I51" s="24" t="str">
        <f>IFERROR(__xludf.DUMMYFUNCTION("""COMPUTED_VALUE"""),"costume")</f>
        <v>costume</v>
      </c>
      <c r="J51" s="24" t="str">
        <f>IFERROR(__xludf.DUMMYFUNCTION("""COMPUTED_VALUE"""),"is")</f>
        <v>is</v>
      </c>
      <c r="K51" s="24" t="str">
        <f>IFERROR(__xludf.DUMMYFUNCTION("""COMPUTED_VALUE"""),"colorful.")</f>
        <v>colorful.</v>
      </c>
      <c r="L51" s="24"/>
      <c r="M51" s="24"/>
      <c r="N51" s="24"/>
      <c r="O51" s="24"/>
      <c r="P51" s="25">
        <v>3.0</v>
      </c>
      <c r="Q51" s="25">
        <v>124.0</v>
      </c>
    </row>
    <row r="52" ht="25.5" customHeight="1">
      <c r="A52" s="3">
        <v>51.0</v>
      </c>
      <c r="B52" s="12" t="s">
        <v>11</v>
      </c>
      <c r="C52" s="13" t="s">
        <v>154</v>
      </c>
      <c r="D52" s="14" t="s">
        <v>215</v>
      </c>
      <c r="E52" s="15" t="s">
        <v>216</v>
      </c>
      <c r="F52" s="16" t="s">
        <v>217</v>
      </c>
      <c r="G52" s="17" t="s">
        <v>218</v>
      </c>
      <c r="H52" s="17" t="str">
        <f>IFERROR(__xludf.DUMMYFUNCTION("split(G52, "" "")"),"The")</f>
        <v>The</v>
      </c>
      <c r="I52" s="17" t="str">
        <f>IFERROR(__xludf.DUMMYFUNCTION("""COMPUTED_VALUE"""),"actor")</f>
        <v>actor</v>
      </c>
      <c r="J52" s="17" t="str">
        <f>IFERROR(__xludf.DUMMYFUNCTION("""COMPUTED_VALUE"""),"wears")</f>
        <v>wears</v>
      </c>
      <c r="K52" s="17" t="str">
        <f>IFERROR(__xludf.DUMMYFUNCTION("""COMPUTED_VALUE"""),"a")</f>
        <v>a</v>
      </c>
      <c r="L52" s="17" t="str">
        <f>IFERROR(__xludf.DUMMYFUNCTION("""COMPUTED_VALUE"""),"mask.")</f>
        <v>mask.</v>
      </c>
      <c r="M52" s="17"/>
      <c r="N52" s="17"/>
      <c r="O52" s="17"/>
      <c r="P52" s="18">
        <v>4.0</v>
      </c>
      <c r="Q52" s="18">
        <v>1235.0</v>
      </c>
    </row>
    <row r="53" ht="25.5" customHeight="1">
      <c r="A53" s="11">
        <v>52.0</v>
      </c>
      <c r="B53" s="12" t="s">
        <v>11</v>
      </c>
      <c r="C53" s="13" t="s">
        <v>154</v>
      </c>
      <c r="D53" s="14" t="s">
        <v>219</v>
      </c>
      <c r="E53" s="15" t="s">
        <v>220</v>
      </c>
      <c r="F53" s="16" t="s">
        <v>221</v>
      </c>
      <c r="G53" s="17" t="s">
        <v>222</v>
      </c>
      <c r="H53" s="17" t="str">
        <f>IFERROR(__xludf.DUMMYFUNCTION("split(G53, "" "")"),"The")</f>
        <v>The</v>
      </c>
      <c r="I53" s="17" t="str">
        <f>IFERROR(__xludf.DUMMYFUNCTION("""COMPUTED_VALUE"""),"picture")</f>
        <v>picture</v>
      </c>
      <c r="J53" s="17" t="str">
        <f>IFERROR(__xludf.DUMMYFUNCTION("""COMPUTED_VALUE"""),"has")</f>
        <v>has</v>
      </c>
      <c r="K53" s="17" t="str">
        <f>IFERROR(__xludf.DUMMYFUNCTION("""COMPUTED_VALUE"""),"a")</f>
        <v>a</v>
      </c>
      <c r="L53" s="17" t="str">
        <f>IFERROR(__xludf.DUMMYFUNCTION("""COMPUTED_VALUE"""),"gold")</f>
        <v>gold</v>
      </c>
      <c r="M53" s="17" t="str">
        <f>IFERROR(__xludf.DUMMYFUNCTION("""COMPUTED_VALUE"""),"frame.")</f>
        <v>frame.</v>
      </c>
      <c r="N53" s="17"/>
      <c r="O53" s="17"/>
      <c r="P53" s="18">
        <v>4.0</v>
      </c>
      <c r="Q53" s="18">
        <v>1256.0</v>
      </c>
    </row>
    <row r="54" ht="25.5" customHeight="1">
      <c r="A54" s="3">
        <v>53.0</v>
      </c>
      <c r="B54" s="12" t="s">
        <v>11</v>
      </c>
      <c r="C54" s="13" t="s">
        <v>223</v>
      </c>
      <c r="D54" s="14" t="s">
        <v>224</v>
      </c>
      <c r="E54" s="15" t="s">
        <v>160</v>
      </c>
      <c r="F54" s="16" t="s">
        <v>225</v>
      </c>
      <c r="G54" s="17" t="s">
        <v>226</v>
      </c>
      <c r="H54" s="17" t="str">
        <f>IFERROR(__xludf.DUMMYFUNCTION("split(G54, "" "")"),"She")</f>
        <v>She</v>
      </c>
      <c r="I54" s="17" t="str">
        <f>IFERROR(__xludf.DUMMYFUNCTION("""COMPUTED_VALUE"""),"paints")</f>
        <v>paints</v>
      </c>
      <c r="J54" s="17" t="str">
        <f>IFERROR(__xludf.DUMMYFUNCTION("""COMPUTED_VALUE"""),"a")</f>
        <v>a</v>
      </c>
      <c r="K54" s="17" t="str">
        <f>IFERROR(__xludf.DUMMYFUNCTION("""COMPUTED_VALUE"""),"flower.")</f>
        <v>flower.</v>
      </c>
      <c r="L54" s="17"/>
      <c r="M54" s="17"/>
      <c r="N54" s="17"/>
      <c r="O54" s="17"/>
      <c r="P54" s="18">
        <v>3.0</v>
      </c>
      <c r="Q54" s="18">
        <v>124.0</v>
      </c>
    </row>
    <row r="55" ht="25.5" customHeight="1">
      <c r="A55" s="11">
        <v>54.0</v>
      </c>
      <c r="B55" s="19" t="s">
        <v>11</v>
      </c>
      <c r="C55" s="20" t="s">
        <v>223</v>
      </c>
      <c r="D55" s="21" t="s">
        <v>227</v>
      </c>
      <c r="E55" s="22" t="s">
        <v>228</v>
      </c>
      <c r="F55" s="23" t="s">
        <v>229</v>
      </c>
      <c r="G55" s="24" t="s">
        <v>230</v>
      </c>
      <c r="H55" s="24" t="str">
        <f>IFERROR(__xludf.DUMMYFUNCTION("split(G55, "" "")"),"They")</f>
        <v>They</v>
      </c>
      <c r="I55" s="24" t="str">
        <f>IFERROR(__xludf.DUMMYFUNCTION("""COMPUTED_VALUE"""),"sing")</f>
        <v>sing</v>
      </c>
      <c r="J55" s="24" t="str">
        <f>IFERROR(__xludf.DUMMYFUNCTION("""COMPUTED_VALUE"""),"a")</f>
        <v>a</v>
      </c>
      <c r="K55" s="24" t="str">
        <f>IFERROR(__xludf.DUMMYFUNCTION("""COMPUTED_VALUE"""),"happy")</f>
        <v>happy</v>
      </c>
      <c r="L55" s="24" t="str">
        <f>IFERROR(__xludf.DUMMYFUNCTION("""COMPUTED_VALUE"""),"song.")</f>
        <v>song.</v>
      </c>
      <c r="M55" s="24"/>
      <c r="N55" s="24"/>
      <c r="O55" s="24"/>
      <c r="P55" s="25">
        <v>4.0</v>
      </c>
      <c r="Q55" s="25">
        <v>1245.0</v>
      </c>
    </row>
    <row r="56" ht="25.5" customHeight="1">
      <c r="A56" s="3">
        <v>55.0</v>
      </c>
      <c r="B56" s="12" t="s">
        <v>11</v>
      </c>
      <c r="C56" s="13" t="s">
        <v>223</v>
      </c>
      <c r="D56" s="14" t="s">
        <v>231</v>
      </c>
      <c r="E56" s="15" t="s">
        <v>30</v>
      </c>
      <c r="F56" s="16" t="s">
        <v>232</v>
      </c>
      <c r="G56" s="17" t="s">
        <v>233</v>
      </c>
      <c r="H56" s="17" t="str">
        <f>IFERROR(__xludf.DUMMYFUNCTION("split(G56, "" "")"),"We")</f>
        <v>We</v>
      </c>
      <c r="I56" s="17" t="str">
        <f>IFERROR(__xludf.DUMMYFUNCTION("""COMPUTED_VALUE"""),"dance")</f>
        <v>dance</v>
      </c>
      <c r="J56" s="17" t="str">
        <f>IFERROR(__xludf.DUMMYFUNCTION("""COMPUTED_VALUE"""),"at")</f>
        <v>at</v>
      </c>
      <c r="K56" s="17" t="str">
        <f>IFERROR(__xludf.DUMMYFUNCTION("""COMPUTED_VALUE"""),"the")</f>
        <v>the</v>
      </c>
      <c r="L56" s="17" t="str">
        <f>IFERROR(__xludf.DUMMYFUNCTION("""COMPUTED_VALUE"""),"party.")</f>
        <v>party.</v>
      </c>
      <c r="M56" s="17"/>
      <c r="N56" s="17"/>
      <c r="O56" s="17"/>
      <c r="P56" s="18">
        <v>3.0</v>
      </c>
      <c r="Q56" s="18">
        <v>125.0</v>
      </c>
    </row>
    <row r="57" ht="25.5" customHeight="1">
      <c r="A57" s="11">
        <v>56.0</v>
      </c>
      <c r="B57" s="19" t="s">
        <v>11</v>
      </c>
      <c r="C57" s="20" t="s">
        <v>223</v>
      </c>
      <c r="D57" s="21" t="s">
        <v>234</v>
      </c>
      <c r="E57" s="22" t="s">
        <v>235</v>
      </c>
      <c r="F57" s="23" t="s">
        <v>236</v>
      </c>
      <c r="G57" s="24" t="s">
        <v>237</v>
      </c>
      <c r="H57" s="24" t="str">
        <f>IFERROR(__xludf.DUMMYFUNCTION("split(G57, "" "")"),"He")</f>
        <v>He</v>
      </c>
      <c r="I57" s="24" t="str">
        <f>IFERROR(__xludf.DUMMYFUNCTION("""COMPUTED_VALUE"""),"plays")</f>
        <v>plays</v>
      </c>
      <c r="J57" s="24" t="str">
        <f>IFERROR(__xludf.DUMMYFUNCTION("""COMPUTED_VALUE"""),"the")</f>
        <v>the</v>
      </c>
      <c r="K57" s="24" t="str">
        <f>IFERROR(__xludf.DUMMYFUNCTION("""COMPUTED_VALUE"""),"guitar.")</f>
        <v>guitar.</v>
      </c>
      <c r="L57" s="24"/>
      <c r="M57" s="24"/>
      <c r="N57" s="24"/>
      <c r="O57" s="24"/>
      <c r="P57" s="25">
        <v>3.0</v>
      </c>
      <c r="Q57" s="25">
        <v>124.0</v>
      </c>
    </row>
    <row r="58" ht="25.5" customHeight="1">
      <c r="A58" s="3">
        <v>57.0</v>
      </c>
      <c r="B58" s="12" t="s">
        <v>11</v>
      </c>
      <c r="C58" s="13" t="s">
        <v>223</v>
      </c>
      <c r="D58" s="14" t="s">
        <v>238</v>
      </c>
      <c r="E58" s="15" t="s">
        <v>239</v>
      </c>
      <c r="F58" s="16" t="s">
        <v>240</v>
      </c>
      <c r="G58" s="17" t="s">
        <v>241</v>
      </c>
      <c r="H58" s="17" t="str">
        <f>IFERROR(__xludf.DUMMYFUNCTION("split(G58, "" "")"),"The")</f>
        <v>The</v>
      </c>
      <c r="I58" s="17" t="str">
        <f>IFERROR(__xludf.DUMMYFUNCTION("""COMPUTED_VALUE"""),"writer")</f>
        <v>writer</v>
      </c>
      <c r="J58" s="17" t="str">
        <f>IFERROR(__xludf.DUMMYFUNCTION("""COMPUTED_VALUE"""),"writes")</f>
        <v>writes</v>
      </c>
      <c r="K58" s="17" t="str">
        <f>IFERROR(__xludf.DUMMYFUNCTION("""COMPUTED_VALUE"""),"a")</f>
        <v>a</v>
      </c>
      <c r="L58" s="17" t="str">
        <f>IFERROR(__xludf.DUMMYFUNCTION("""COMPUTED_VALUE"""),"story.")</f>
        <v>story.</v>
      </c>
      <c r="M58" s="17"/>
      <c r="N58" s="17"/>
      <c r="O58" s="17"/>
      <c r="P58" s="18">
        <v>4.0</v>
      </c>
      <c r="Q58" s="18">
        <v>1235.0</v>
      </c>
    </row>
    <row r="59" ht="25.5" customHeight="1">
      <c r="A59" s="11">
        <v>58.0</v>
      </c>
      <c r="B59" s="12" t="s">
        <v>11</v>
      </c>
      <c r="C59" s="13" t="s">
        <v>223</v>
      </c>
      <c r="D59" s="14" t="s">
        <v>242</v>
      </c>
      <c r="E59" s="15" t="s">
        <v>243</v>
      </c>
      <c r="F59" s="16" t="s">
        <v>244</v>
      </c>
      <c r="G59" s="17" t="s">
        <v>245</v>
      </c>
      <c r="H59" s="17" t="str">
        <f>IFERROR(__xludf.DUMMYFUNCTION("split(G59, "" "")"),"We")</f>
        <v>We</v>
      </c>
      <c r="I59" s="17" t="str">
        <f>IFERROR(__xludf.DUMMYFUNCTION("""COMPUTED_VALUE"""),"watch")</f>
        <v>watch</v>
      </c>
      <c r="J59" s="17" t="str">
        <f>IFERROR(__xludf.DUMMYFUNCTION("""COMPUTED_VALUE"""),"a")</f>
        <v>a</v>
      </c>
      <c r="K59" s="17" t="str">
        <f>IFERROR(__xludf.DUMMYFUNCTION("""COMPUTED_VALUE"""),"film.")</f>
        <v>film.</v>
      </c>
      <c r="L59" s="17"/>
      <c r="M59" s="17"/>
      <c r="N59" s="17"/>
      <c r="O59" s="17"/>
      <c r="P59" s="18">
        <v>3.0</v>
      </c>
      <c r="Q59" s="18">
        <v>124.0</v>
      </c>
    </row>
    <row r="60" ht="25.5" customHeight="1">
      <c r="A60" s="3">
        <v>59.0</v>
      </c>
      <c r="B60" s="19" t="s">
        <v>11</v>
      </c>
      <c r="C60" s="20" t="s">
        <v>223</v>
      </c>
      <c r="D60" s="21" t="s">
        <v>246</v>
      </c>
      <c r="E60" s="22" t="s">
        <v>247</v>
      </c>
      <c r="F60" s="23" t="s">
        <v>248</v>
      </c>
      <c r="G60" s="24" t="s">
        <v>249</v>
      </c>
      <c r="H60" s="24" t="str">
        <f>IFERROR(__xludf.DUMMYFUNCTION("split(G60, "" "")"),"I")</f>
        <v>I</v>
      </c>
      <c r="I60" s="24" t="str">
        <f>IFERROR(__xludf.DUMMYFUNCTION("""COMPUTED_VALUE"""),"listen")</f>
        <v>listen</v>
      </c>
      <c r="J60" s="24" t="str">
        <f>IFERROR(__xludf.DUMMYFUNCTION("""COMPUTED_VALUE"""),"to")</f>
        <v>to</v>
      </c>
      <c r="K60" s="24" t="str">
        <f>IFERROR(__xludf.DUMMYFUNCTION("""COMPUTED_VALUE"""),"music.")</f>
        <v>music.</v>
      </c>
      <c r="L60" s="24"/>
      <c r="M60" s="24"/>
      <c r="N60" s="24"/>
      <c r="O60" s="24"/>
      <c r="P60" s="25">
        <v>3.0</v>
      </c>
      <c r="Q60" s="25">
        <v>124.0</v>
      </c>
    </row>
    <row r="61" ht="25.5" customHeight="1">
      <c r="A61" s="11">
        <v>60.0</v>
      </c>
      <c r="B61" s="12" t="s">
        <v>11</v>
      </c>
      <c r="C61" s="13" t="s">
        <v>223</v>
      </c>
      <c r="D61" s="14" t="s">
        <v>250</v>
      </c>
      <c r="E61" s="15" t="s">
        <v>251</v>
      </c>
      <c r="F61" s="16" t="s">
        <v>252</v>
      </c>
      <c r="G61" s="17" t="s">
        <v>253</v>
      </c>
      <c r="H61" s="17" t="str">
        <f>IFERROR(__xludf.DUMMYFUNCTION("split(G61, "" "")"),"Artists")</f>
        <v>Artists</v>
      </c>
      <c r="I61" s="17" t="str">
        <f>IFERROR(__xludf.DUMMYFUNCTION("""COMPUTED_VALUE"""),"create")</f>
        <v>create</v>
      </c>
      <c r="J61" s="17" t="str">
        <f>IFERROR(__xludf.DUMMYFUNCTION("""COMPUTED_VALUE"""),"new")</f>
        <v>new</v>
      </c>
      <c r="K61" s="17" t="str">
        <f>IFERROR(__xludf.DUMMYFUNCTION("""COMPUTED_VALUE"""),"things.")</f>
        <v>things.</v>
      </c>
      <c r="L61" s="17"/>
      <c r="M61" s="17"/>
      <c r="N61" s="17"/>
      <c r="O61" s="17"/>
      <c r="P61" s="18">
        <v>4.0</v>
      </c>
      <c r="Q61" s="18">
        <v>1234.0</v>
      </c>
    </row>
    <row r="62" ht="25.5" customHeight="1">
      <c r="A62" s="3">
        <v>61.0</v>
      </c>
      <c r="B62" s="19" t="s">
        <v>11</v>
      </c>
      <c r="C62" s="20" t="s">
        <v>223</v>
      </c>
      <c r="D62" s="21" t="s">
        <v>254</v>
      </c>
      <c r="E62" s="22" t="s">
        <v>255</v>
      </c>
      <c r="F62" s="23" t="s">
        <v>256</v>
      </c>
      <c r="G62" s="24" t="s">
        <v>257</v>
      </c>
      <c r="H62" s="24" t="str">
        <f>IFERROR(__xludf.DUMMYFUNCTION("split(G62, "" "")"),"She")</f>
        <v>She</v>
      </c>
      <c r="I62" s="24" t="str">
        <f>IFERROR(__xludf.DUMMYFUNCTION("""COMPUTED_VALUE"""),"designs")</f>
        <v>designs</v>
      </c>
      <c r="J62" s="24" t="str">
        <f>IFERROR(__xludf.DUMMYFUNCTION("""COMPUTED_VALUE"""),"a")</f>
        <v>a</v>
      </c>
      <c r="K62" s="24" t="str">
        <f>IFERROR(__xludf.DUMMYFUNCTION("""COMPUTED_VALUE"""),"poster.")</f>
        <v>poster.</v>
      </c>
      <c r="L62" s="24"/>
      <c r="M62" s="24"/>
      <c r="N62" s="24"/>
      <c r="O62" s="24"/>
      <c r="P62" s="25">
        <v>3.0</v>
      </c>
      <c r="Q62" s="25">
        <v>124.0</v>
      </c>
    </row>
    <row r="63" ht="25.5" customHeight="1">
      <c r="A63" s="11">
        <v>62.0</v>
      </c>
      <c r="B63" s="12" t="s">
        <v>11</v>
      </c>
      <c r="C63" s="13" t="s">
        <v>223</v>
      </c>
      <c r="D63" s="14" t="s">
        <v>258</v>
      </c>
      <c r="E63" s="15" t="s">
        <v>259</v>
      </c>
      <c r="F63" s="16" t="s">
        <v>260</v>
      </c>
      <c r="G63" s="17" t="s">
        <v>261</v>
      </c>
      <c r="H63" s="17" t="str">
        <f>IFERROR(__xludf.DUMMYFUNCTION("split(G63, "" "")"),"The")</f>
        <v>The</v>
      </c>
      <c r="I63" s="17" t="str">
        <f>IFERROR(__xludf.DUMMYFUNCTION("""COMPUTED_VALUE"""),"band")</f>
        <v>band</v>
      </c>
      <c r="J63" s="17" t="str">
        <f>IFERROR(__xludf.DUMMYFUNCTION("""COMPUTED_VALUE"""),"performs")</f>
        <v>performs</v>
      </c>
      <c r="K63" s="17" t="str">
        <f>IFERROR(__xludf.DUMMYFUNCTION("""COMPUTED_VALUE"""),"on")</f>
        <v>on</v>
      </c>
      <c r="L63" s="17" t="str">
        <f>IFERROR(__xludf.DUMMYFUNCTION("""COMPUTED_VALUE"""),"stage.")</f>
        <v>stage.</v>
      </c>
      <c r="M63" s="17"/>
      <c r="N63" s="17"/>
      <c r="O63" s="17"/>
      <c r="P63" s="18">
        <v>4.0</v>
      </c>
      <c r="Q63" s="18">
        <v>1235.0</v>
      </c>
    </row>
    <row r="64" ht="25.5" customHeight="1">
      <c r="A64" s="3">
        <v>63.0</v>
      </c>
      <c r="B64" s="19" t="s">
        <v>11</v>
      </c>
      <c r="C64" s="20" t="s">
        <v>223</v>
      </c>
      <c r="D64" s="21" t="s">
        <v>262</v>
      </c>
      <c r="E64" s="22" t="s">
        <v>263</v>
      </c>
      <c r="F64" s="23" t="s">
        <v>264</v>
      </c>
      <c r="G64" s="24" t="s">
        <v>265</v>
      </c>
      <c r="H64" s="24" t="str">
        <f>IFERROR(__xludf.DUMMYFUNCTION("split(G64, "" "")"),"He")</f>
        <v>He</v>
      </c>
      <c r="I64" s="24" t="str">
        <f>IFERROR(__xludf.DUMMYFUNCTION("""COMPUTED_VALUE"""),"acts")</f>
        <v>acts</v>
      </c>
      <c r="J64" s="24" t="str">
        <f>IFERROR(__xludf.DUMMYFUNCTION("""COMPUTED_VALUE"""),"in")</f>
        <v>in</v>
      </c>
      <c r="K64" s="24" t="str">
        <f>IFERROR(__xludf.DUMMYFUNCTION("""COMPUTED_VALUE"""),"a")</f>
        <v>a</v>
      </c>
      <c r="L64" s="24" t="str">
        <f>IFERROR(__xludf.DUMMYFUNCTION("""COMPUTED_VALUE"""),"film.")</f>
        <v>film.</v>
      </c>
      <c r="M64" s="24"/>
      <c r="N64" s="24"/>
      <c r="O64" s="24"/>
      <c r="P64" s="25">
        <v>3.0</v>
      </c>
      <c r="Q64" s="25">
        <v>125.0</v>
      </c>
    </row>
    <row r="65" ht="25.5" customHeight="1">
      <c r="A65" s="11">
        <v>64.0</v>
      </c>
      <c r="B65" s="12" t="s">
        <v>11</v>
      </c>
      <c r="C65" s="13" t="s">
        <v>223</v>
      </c>
      <c r="D65" s="14" t="s">
        <v>266</v>
      </c>
      <c r="E65" s="15" t="s">
        <v>267</v>
      </c>
      <c r="F65" s="16" t="s">
        <v>268</v>
      </c>
      <c r="G65" s="17" t="s">
        <v>269</v>
      </c>
      <c r="H65" s="17" t="str">
        <f>IFERROR(__xludf.DUMMYFUNCTION("split(G65, "" "")"),"Take")</f>
        <v>Take</v>
      </c>
      <c r="I65" s="17" t="str">
        <f>IFERROR(__xludf.DUMMYFUNCTION("""COMPUTED_VALUE"""),"a")</f>
        <v>a</v>
      </c>
      <c r="J65" s="17" t="str">
        <f>IFERROR(__xludf.DUMMYFUNCTION("""COMPUTED_VALUE"""),"photo")</f>
        <v>photo</v>
      </c>
      <c r="K65" s="17" t="str">
        <f>IFERROR(__xludf.DUMMYFUNCTION("""COMPUTED_VALUE"""),"of")</f>
        <v>of</v>
      </c>
      <c r="L65" s="17" t="str">
        <f>IFERROR(__xludf.DUMMYFUNCTION("""COMPUTED_VALUE"""),"the")</f>
        <v>the</v>
      </c>
      <c r="M65" s="17" t="str">
        <f>IFERROR(__xludf.DUMMYFUNCTION("""COMPUTED_VALUE"""),"painting.")</f>
        <v>painting.</v>
      </c>
      <c r="N65" s="17"/>
      <c r="O65" s="17"/>
      <c r="P65" s="18">
        <v>3.0</v>
      </c>
      <c r="Q65" s="18">
        <v>136.0</v>
      </c>
    </row>
    <row r="66" ht="25.5" customHeight="1">
      <c r="A66" s="3">
        <v>65.0</v>
      </c>
      <c r="B66" s="19" t="s">
        <v>11</v>
      </c>
      <c r="C66" s="20" t="s">
        <v>223</v>
      </c>
      <c r="D66" s="21" t="s">
        <v>270</v>
      </c>
      <c r="E66" s="22" t="s">
        <v>271</v>
      </c>
      <c r="F66" s="23" t="s">
        <v>272</v>
      </c>
      <c r="G66" s="24" t="s">
        <v>273</v>
      </c>
      <c r="H66" s="24" t="str">
        <f>IFERROR(__xludf.DUMMYFUNCTION("split(G66, "" "")"),"The")</f>
        <v>The</v>
      </c>
      <c r="I66" s="24" t="str">
        <f>IFERROR(__xludf.DUMMYFUNCTION("""COMPUTED_VALUE"""),"museum")</f>
        <v>museum</v>
      </c>
      <c r="J66" s="24" t="str">
        <f>IFERROR(__xludf.DUMMYFUNCTION("""COMPUTED_VALUE"""),"shows")</f>
        <v>shows</v>
      </c>
      <c r="K66" s="24" t="str">
        <f>IFERROR(__xludf.DUMMYFUNCTION("""COMPUTED_VALUE"""),"old")</f>
        <v>old</v>
      </c>
      <c r="L66" s="24" t="str">
        <f>IFERROR(__xludf.DUMMYFUNCTION("""COMPUTED_VALUE"""),"art.")</f>
        <v>art.</v>
      </c>
      <c r="M66" s="24"/>
      <c r="N66" s="24"/>
      <c r="O66" s="24"/>
      <c r="P66" s="25">
        <v>5.0</v>
      </c>
      <c r="Q66" s="25">
        <v>12345.0</v>
      </c>
    </row>
    <row r="67" ht="25.5" customHeight="1">
      <c r="A67" s="11">
        <v>66.0</v>
      </c>
      <c r="B67" s="12" t="s">
        <v>11</v>
      </c>
      <c r="C67" s="13" t="s">
        <v>223</v>
      </c>
      <c r="D67" s="14" t="s">
        <v>274</v>
      </c>
      <c r="E67" s="15" t="s">
        <v>275</v>
      </c>
      <c r="F67" s="16" t="s">
        <v>276</v>
      </c>
      <c r="G67" s="17" t="s">
        <v>277</v>
      </c>
      <c r="H67" s="17" t="str">
        <f>IFERROR(__xludf.DUMMYFUNCTION("split(G67, "" "")"),"She")</f>
        <v>She</v>
      </c>
      <c r="I67" s="17" t="str">
        <f>IFERROR(__xludf.DUMMYFUNCTION("""COMPUTED_VALUE"""),"practices")</f>
        <v>practices</v>
      </c>
      <c r="J67" s="17" t="str">
        <f>IFERROR(__xludf.DUMMYFUNCTION("""COMPUTED_VALUE"""),"singing")</f>
        <v>singing</v>
      </c>
      <c r="K67" s="17" t="str">
        <f>IFERROR(__xludf.DUMMYFUNCTION("""COMPUTED_VALUE"""),"every")</f>
        <v>every</v>
      </c>
      <c r="L67" s="17" t="str">
        <f>IFERROR(__xludf.DUMMYFUNCTION("""COMPUTED_VALUE"""),"day.")</f>
        <v>day.</v>
      </c>
      <c r="M67" s="17"/>
      <c r="N67" s="17"/>
      <c r="O67" s="17"/>
      <c r="P67" s="18">
        <v>4.0</v>
      </c>
      <c r="Q67" s="18">
        <v>1235.0</v>
      </c>
    </row>
    <row r="68" ht="25.5" customHeight="1">
      <c r="A68" s="3">
        <v>67.0</v>
      </c>
      <c r="B68" s="19" t="s">
        <v>11</v>
      </c>
      <c r="C68" s="20" t="s">
        <v>223</v>
      </c>
      <c r="D68" s="21" t="s">
        <v>278</v>
      </c>
      <c r="E68" s="22" t="s">
        <v>279</v>
      </c>
      <c r="F68" s="23" t="s">
        <v>280</v>
      </c>
      <c r="G68" s="24" t="s">
        <v>281</v>
      </c>
      <c r="H68" s="24" t="str">
        <f>IFERROR(__xludf.DUMMYFUNCTION("split(G68, "" "")"),"Children")</f>
        <v>Children</v>
      </c>
      <c r="I68" s="24" t="str">
        <f>IFERROR(__xludf.DUMMYFUNCTION("""COMPUTED_VALUE"""),"learn")</f>
        <v>learn</v>
      </c>
      <c r="J68" s="24" t="str">
        <f>IFERROR(__xludf.DUMMYFUNCTION("""COMPUTED_VALUE"""),"art")</f>
        <v>art</v>
      </c>
      <c r="K68" s="24" t="str">
        <f>IFERROR(__xludf.DUMMYFUNCTION("""COMPUTED_VALUE"""),"at")</f>
        <v>at</v>
      </c>
      <c r="L68" s="24" t="str">
        <f>IFERROR(__xludf.DUMMYFUNCTION("""COMPUTED_VALUE"""),"school.")</f>
        <v>school.</v>
      </c>
      <c r="M68" s="24"/>
      <c r="N68" s="24"/>
      <c r="O68" s="24"/>
      <c r="P68" s="25">
        <v>4.0</v>
      </c>
      <c r="Q68" s="25">
        <v>1235.0</v>
      </c>
    </row>
    <row r="69" ht="25.5" customHeight="1">
      <c r="A69" s="11">
        <v>68.0</v>
      </c>
      <c r="B69" s="12" t="s">
        <v>11</v>
      </c>
      <c r="C69" s="13" t="s">
        <v>223</v>
      </c>
      <c r="D69" s="14" t="s">
        <v>282</v>
      </c>
      <c r="E69" s="15" t="s">
        <v>283</v>
      </c>
      <c r="F69" s="16" t="s">
        <v>284</v>
      </c>
      <c r="G69" s="17" t="s">
        <v>285</v>
      </c>
      <c r="H69" s="17" t="str">
        <f>IFERROR(__xludf.DUMMYFUNCTION("split(G69, "" "")"),"We")</f>
        <v>We</v>
      </c>
      <c r="I69" s="17" t="str">
        <f>IFERROR(__xludf.DUMMYFUNCTION("""COMPUTED_VALUE"""),"visit")</f>
        <v>visit</v>
      </c>
      <c r="J69" s="17" t="str">
        <f>IFERROR(__xludf.DUMMYFUNCTION("""COMPUTED_VALUE"""),"the")</f>
        <v>the</v>
      </c>
      <c r="K69" s="17" t="str">
        <f>IFERROR(__xludf.DUMMYFUNCTION("""COMPUTED_VALUE"""),"gallery.")</f>
        <v>gallery.</v>
      </c>
      <c r="L69" s="17"/>
      <c r="M69" s="17"/>
      <c r="N69" s="17"/>
      <c r="O69" s="17"/>
      <c r="P69" s="18">
        <v>3.0</v>
      </c>
      <c r="Q69" s="18">
        <v>124.0</v>
      </c>
    </row>
    <row r="70" ht="25.5" customHeight="1">
      <c r="A70" s="3">
        <v>69.0</v>
      </c>
      <c r="B70" s="19" t="s">
        <v>11</v>
      </c>
      <c r="C70" s="20" t="s">
        <v>223</v>
      </c>
      <c r="D70" s="21" t="s">
        <v>286</v>
      </c>
      <c r="E70" s="22" t="s">
        <v>287</v>
      </c>
      <c r="F70" s="23" t="s">
        <v>288</v>
      </c>
      <c r="G70" s="24" t="s">
        <v>289</v>
      </c>
      <c r="H70" s="24" t="str">
        <f>IFERROR(__xludf.DUMMYFUNCTION("split(G70, "" "")"),"I")</f>
        <v>I</v>
      </c>
      <c r="I70" s="24" t="str">
        <f>IFERROR(__xludf.DUMMYFUNCTION("""COMPUTED_VALUE"""),"enjoy")</f>
        <v>enjoy</v>
      </c>
      <c r="J70" s="24" t="str">
        <f>IFERROR(__xludf.DUMMYFUNCTION("""COMPUTED_VALUE"""),"this")</f>
        <v>this</v>
      </c>
      <c r="K70" s="24" t="str">
        <f>IFERROR(__xludf.DUMMYFUNCTION("""COMPUTED_VALUE"""),"song.")</f>
        <v>song.</v>
      </c>
      <c r="L70" s="24"/>
      <c r="M70" s="24"/>
      <c r="N70" s="24"/>
      <c r="O70" s="24"/>
      <c r="P70" s="25">
        <v>3.0</v>
      </c>
      <c r="Q70" s="25">
        <v>124.0</v>
      </c>
    </row>
    <row r="71" ht="25.5" customHeight="1">
      <c r="A71" s="11">
        <v>70.0</v>
      </c>
      <c r="B71" s="12" t="s">
        <v>11</v>
      </c>
      <c r="C71" s="13" t="s">
        <v>223</v>
      </c>
      <c r="D71" s="14" t="s">
        <v>290</v>
      </c>
      <c r="E71" s="15" t="s">
        <v>291</v>
      </c>
      <c r="F71" s="16" t="s">
        <v>292</v>
      </c>
      <c r="G71" s="17" t="s">
        <v>293</v>
      </c>
      <c r="H71" s="17" t="str">
        <f>IFERROR(__xludf.DUMMYFUNCTION("split(G71, "" "")"),"Artists")</f>
        <v>Artists</v>
      </c>
      <c r="I71" s="17" t="str">
        <f>IFERROR(__xludf.DUMMYFUNCTION("""COMPUTED_VALUE"""),"share")</f>
        <v>share</v>
      </c>
      <c r="J71" s="17" t="str">
        <f>IFERROR(__xludf.DUMMYFUNCTION("""COMPUTED_VALUE"""),"their")</f>
        <v>their</v>
      </c>
      <c r="K71" s="17" t="str">
        <f>IFERROR(__xludf.DUMMYFUNCTION("""COMPUTED_VALUE"""),"ideas.")</f>
        <v>ideas.</v>
      </c>
      <c r="L71" s="17"/>
      <c r="M71" s="17"/>
      <c r="N71" s="17"/>
      <c r="O71" s="17"/>
      <c r="P71" s="18">
        <v>3.0</v>
      </c>
      <c r="Q71" s="18">
        <v>124.0</v>
      </c>
    </row>
    <row r="72" ht="25.5" customHeight="1">
      <c r="A72" s="3">
        <v>71.0</v>
      </c>
      <c r="B72" s="19" t="s">
        <v>11</v>
      </c>
      <c r="C72" s="20" t="s">
        <v>294</v>
      </c>
      <c r="D72" s="21" t="s">
        <v>295</v>
      </c>
      <c r="E72" s="22" t="s">
        <v>296</v>
      </c>
      <c r="F72" s="23" t="s">
        <v>297</v>
      </c>
      <c r="G72" s="24" t="s">
        <v>298</v>
      </c>
      <c r="H72" s="24" t="str">
        <f>IFERROR(__xludf.DUMMYFUNCTION("split(G72, "" "")"),"The")</f>
        <v>The</v>
      </c>
      <c r="I72" s="24" t="str">
        <f>IFERROR(__xludf.DUMMYFUNCTION("""COMPUTED_VALUE"""),"painting")</f>
        <v>painting</v>
      </c>
      <c r="J72" s="24" t="str">
        <f>IFERROR(__xludf.DUMMYFUNCTION("""COMPUTED_VALUE"""),"is")</f>
        <v>is</v>
      </c>
      <c r="K72" s="24" t="str">
        <f>IFERROR(__xludf.DUMMYFUNCTION("""COMPUTED_VALUE"""),"beautiful.")</f>
        <v>beautiful.</v>
      </c>
      <c r="L72" s="24"/>
      <c r="M72" s="24"/>
      <c r="N72" s="24"/>
      <c r="O72" s="24"/>
      <c r="P72" s="25">
        <v>3.0</v>
      </c>
      <c r="Q72" s="25">
        <v>124.0</v>
      </c>
    </row>
    <row r="73" ht="25.5" customHeight="1">
      <c r="A73" s="11">
        <v>72.0</v>
      </c>
      <c r="B73" s="12" t="s">
        <v>11</v>
      </c>
      <c r="C73" s="13" t="s">
        <v>294</v>
      </c>
      <c r="D73" s="14" t="s">
        <v>299</v>
      </c>
      <c r="E73" s="15" t="s">
        <v>300</v>
      </c>
      <c r="F73" s="16" t="s">
        <v>301</v>
      </c>
      <c r="G73" s="17" t="s">
        <v>302</v>
      </c>
      <c r="H73" s="17" t="str">
        <f>IFERROR(__xludf.DUMMYFUNCTION("split(G73, "" "")"),"She")</f>
        <v>She</v>
      </c>
      <c r="I73" s="17" t="str">
        <f>IFERROR(__xludf.DUMMYFUNCTION("""COMPUTED_VALUE"""),"is")</f>
        <v>is</v>
      </c>
      <c r="J73" s="17" t="str">
        <f>IFERROR(__xludf.DUMMYFUNCTION("""COMPUTED_VALUE"""),"a")</f>
        <v>a</v>
      </c>
      <c r="K73" s="17" t="str">
        <f>IFERROR(__xludf.DUMMYFUNCTION("""COMPUTED_VALUE"""),"creative")</f>
        <v>creative</v>
      </c>
      <c r="L73" s="17" t="str">
        <f>IFERROR(__xludf.DUMMYFUNCTION("""COMPUTED_VALUE"""),"artist.")</f>
        <v>artist.</v>
      </c>
      <c r="M73" s="17"/>
      <c r="N73" s="17"/>
      <c r="O73" s="17"/>
      <c r="P73" s="18">
        <v>3.0</v>
      </c>
      <c r="Q73" s="18">
        <v>145.0</v>
      </c>
    </row>
    <row r="74" ht="25.5" customHeight="1">
      <c r="A74" s="3">
        <v>73.0</v>
      </c>
      <c r="B74" s="19" t="s">
        <v>11</v>
      </c>
      <c r="C74" s="20" t="s">
        <v>294</v>
      </c>
      <c r="D74" s="21" t="s">
        <v>303</v>
      </c>
      <c r="E74" s="22" t="s">
        <v>304</v>
      </c>
      <c r="F74" s="23" t="s">
        <v>305</v>
      </c>
      <c r="G74" s="24" t="s">
        <v>306</v>
      </c>
      <c r="H74" s="24" t="str">
        <f>IFERROR(__xludf.DUMMYFUNCTION("split(G74, "" "")"),"The")</f>
        <v>The</v>
      </c>
      <c r="I74" s="24" t="str">
        <f>IFERROR(__xludf.DUMMYFUNCTION("""COMPUTED_VALUE"""),"picture")</f>
        <v>picture</v>
      </c>
      <c r="J74" s="24" t="str">
        <f>IFERROR(__xludf.DUMMYFUNCTION("""COMPUTED_VALUE"""),"is")</f>
        <v>is</v>
      </c>
      <c r="K74" s="24" t="str">
        <f>IFERROR(__xludf.DUMMYFUNCTION("""COMPUTED_VALUE"""),"colorful.")</f>
        <v>colorful.</v>
      </c>
      <c r="L74" s="24"/>
      <c r="M74" s="24"/>
      <c r="N74" s="24"/>
      <c r="O74" s="24"/>
      <c r="P74" s="25">
        <v>3.0</v>
      </c>
      <c r="Q74" s="25">
        <v>124.0</v>
      </c>
    </row>
    <row r="75" ht="25.5" customHeight="1">
      <c r="A75" s="11">
        <v>74.0</v>
      </c>
      <c r="B75" s="12" t="s">
        <v>11</v>
      </c>
      <c r="C75" s="13" t="s">
        <v>294</v>
      </c>
      <c r="D75" s="14" t="s">
        <v>307</v>
      </c>
      <c r="E75" s="15" t="s">
        <v>308</v>
      </c>
      <c r="F75" s="16" t="s">
        <v>309</v>
      </c>
      <c r="G75" s="17" t="s">
        <v>310</v>
      </c>
      <c r="H75" s="17" t="str">
        <f>IFERROR(__xludf.DUMMYFUNCTION("split(G75, "" "")"),"Modern")</f>
        <v>Modern</v>
      </c>
      <c r="I75" s="17" t="str">
        <f>IFERROR(__xludf.DUMMYFUNCTION("""COMPUTED_VALUE"""),"art")</f>
        <v>art</v>
      </c>
      <c r="J75" s="17" t="str">
        <f>IFERROR(__xludf.DUMMYFUNCTION("""COMPUTED_VALUE"""),"can")</f>
        <v>can</v>
      </c>
      <c r="K75" s="17" t="str">
        <f>IFERROR(__xludf.DUMMYFUNCTION("""COMPUTED_VALUE"""),"be")</f>
        <v>be</v>
      </c>
      <c r="L75" s="17" t="str">
        <f>IFERROR(__xludf.DUMMYFUNCTION("""COMPUTED_VALUE"""),"simple.")</f>
        <v>simple.</v>
      </c>
      <c r="M75" s="17"/>
      <c r="N75" s="17"/>
      <c r="O75" s="17"/>
      <c r="P75" s="18">
        <v>3.0</v>
      </c>
      <c r="Q75" s="18">
        <v>125.0</v>
      </c>
    </row>
    <row r="76" ht="25.5" customHeight="1">
      <c r="A76" s="3">
        <v>75.0</v>
      </c>
      <c r="B76" s="19" t="s">
        <v>11</v>
      </c>
      <c r="C76" s="20" t="s">
        <v>294</v>
      </c>
      <c r="D76" s="21" t="s">
        <v>311</v>
      </c>
      <c r="E76" s="22" t="s">
        <v>312</v>
      </c>
      <c r="F76" s="23" t="s">
        <v>313</v>
      </c>
      <c r="G76" s="24" t="s">
        <v>314</v>
      </c>
      <c r="H76" s="24" t="str">
        <f>IFERROR(__xludf.DUMMYFUNCTION("split(G76, "" "")"),"Traditional")</f>
        <v>Traditional</v>
      </c>
      <c r="I76" s="24" t="str">
        <f>IFERROR(__xludf.DUMMYFUNCTION("""COMPUTED_VALUE"""),"music")</f>
        <v>music</v>
      </c>
      <c r="J76" s="24" t="str">
        <f>IFERROR(__xludf.DUMMYFUNCTION("""COMPUTED_VALUE"""),"is")</f>
        <v>is</v>
      </c>
      <c r="K76" s="24" t="str">
        <f>IFERROR(__xludf.DUMMYFUNCTION("""COMPUTED_VALUE"""),"special.")</f>
        <v>special.</v>
      </c>
      <c r="L76" s="24"/>
      <c r="M76" s="24"/>
      <c r="N76" s="24"/>
      <c r="O76" s="24"/>
      <c r="P76" s="25">
        <v>3.0</v>
      </c>
      <c r="Q76" s="25">
        <v>124.0</v>
      </c>
    </row>
    <row r="77" ht="25.5" customHeight="1">
      <c r="A77" s="11">
        <v>76.0</v>
      </c>
      <c r="B77" s="12" t="s">
        <v>11</v>
      </c>
      <c r="C77" s="13" t="s">
        <v>294</v>
      </c>
      <c r="D77" s="14" t="s">
        <v>315</v>
      </c>
      <c r="E77" s="15" t="s">
        <v>316</v>
      </c>
      <c r="F77" s="16" t="s">
        <v>317</v>
      </c>
      <c r="G77" s="17" t="s">
        <v>318</v>
      </c>
      <c r="H77" s="17" t="str">
        <f>IFERROR(__xludf.DUMMYFUNCTION("split(G77, "" "")"),"The")</f>
        <v>The</v>
      </c>
      <c r="I77" s="17" t="str">
        <f>IFERROR(__xludf.DUMMYFUNCTION("""COMPUTED_VALUE"""),"singer")</f>
        <v>singer</v>
      </c>
      <c r="J77" s="17" t="str">
        <f>IFERROR(__xludf.DUMMYFUNCTION("""COMPUTED_VALUE"""),"is")</f>
        <v>is</v>
      </c>
      <c r="K77" s="17" t="str">
        <f>IFERROR(__xludf.DUMMYFUNCTION("""COMPUTED_VALUE"""),"famous.")</f>
        <v>famous.</v>
      </c>
      <c r="L77" s="17"/>
      <c r="M77" s="17"/>
      <c r="N77" s="17"/>
      <c r="O77" s="17"/>
      <c r="P77" s="18">
        <v>3.0</v>
      </c>
      <c r="Q77" s="18">
        <v>124.0</v>
      </c>
    </row>
    <row r="78" ht="25.5" customHeight="1">
      <c r="A78" s="3">
        <v>77.0</v>
      </c>
      <c r="B78" s="19" t="s">
        <v>11</v>
      </c>
      <c r="C78" s="20" t="s">
        <v>294</v>
      </c>
      <c r="D78" s="21" t="s">
        <v>319</v>
      </c>
      <c r="E78" s="22" t="s">
        <v>320</v>
      </c>
      <c r="F78" s="23" t="s">
        <v>321</v>
      </c>
      <c r="G78" s="24" t="s">
        <v>322</v>
      </c>
      <c r="H78" s="24" t="str">
        <f>IFERROR(__xludf.DUMMYFUNCTION("split(G78, "" "")"),"This")</f>
        <v>This</v>
      </c>
      <c r="I78" s="24" t="str">
        <f>IFERROR(__xludf.DUMMYFUNCTION("""COMPUTED_VALUE"""),"song")</f>
        <v>song</v>
      </c>
      <c r="J78" s="24" t="str">
        <f>IFERROR(__xludf.DUMMYFUNCTION("""COMPUTED_VALUE"""),"is")</f>
        <v>is</v>
      </c>
      <c r="K78" s="24" t="str">
        <f>IFERROR(__xludf.DUMMYFUNCTION("""COMPUTED_VALUE"""),"popular.")</f>
        <v>popular.</v>
      </c>
      <c r="L78" s="24"/>
      <c r="M78" s="24"/>
      <c r="N78" s="24"/>
      <c r="O78" s="24"/>
      <c r="P78" s="25">
        <v>3.0</v>
      </c>
      <c r="Q78" s="25">
        <v>124.0</v>
      </c>
    </row>
    <row r="79" ht="25.5" customHeight="1">
      <c r="A79" s="11">
        <v>78.0</v>
      </c>
      <c r="B79" s="12" t="s">
        <v>11</v>
      </c>
      <c r="C79" s="13" t="s">
        <v>294</v>
      </c>
      <c r="D79" s="14" t="s">
        <v>323</v>
      </c>
      <c r="E79" s="15" t="s">
        <v>324</v>
      </c>
      <c r="F79" s="16" t="s">
        <v>325</v>
      </c>
      <c r="G79" s="17" t="s">
        <v>326</v>
      </c>
      <c r="H79" s="17" t="str">
        <f>IFERROR(__xludf.DUMMYFUNCTION("split(G79, "" "")"),"The")</f>
        <v>The</v>
      </c>
      <c r="I79" s="17" t="str">
        <f>IFERROR(__xludf.DUMMYFUNCTION("""COMPUTED_VALUE"""),"design")</f>
        <v>design</v>
      </c>
      <c r="J79" s="17" t="str">
        <f>IFERROR(__xludf.DUMMYFUNCTION("""COMPUTED_VALUE"""),"is")</f>
        <v>is</v>
      </c>
      <c r="K79" s="17" t="str">
        <f>IFERROR(__xludf.DUMMYFUNCTION("""COMPUTED_VALUE"""),"simple.")</f>
        <v>simple.</v>
      </c>
      <c r="L79" s="17"/>
      <c r="M79" s="17"/>
      <c r="N79" s="17"/>
      <c r="O79" s="17"/>
      <c r="P79" s="18">
        <v>3.0</v>
      </c>
      <c r="Q79" s="18">
        <v>124.0</v>
      </c>
    </row>
    <row r="80" ht="25.5" customHeight="1">
      <c r="A80" s="3">
        <v>79.0</v>
      </c>
      <c r="B80" s="19" t="s">
        <v>11</v>
      </c>
      <c r="C80" s="20" t="s">
        <v>294</v>
      </c>
      <c r="D80" s="21" t="s">
        <v>327</v>
      </c>
      <c r="E80" s="22" t="s">
        <v>328</v>
      </c>
      <c r="F80" s="23" t="s">
        <v>329</v>
      </c>
      <c r="G80" s="24" t="s">
        <v>330</v>
      </c>
      <c r="H80" s="24" t="str">
        <f>IFERROR(__xludf.DUMMYFUNCTION("split(G80, "" "")"),"This")</f>
        <v>This</v>
      </c>
      <c r="I80" s="24" t="str">
        <f>IFERROR(__xludf.DUMMYFUNCTION("""COMPUTED_VALUE"""),"dance")</f>
        <v>dance</v>
      </c>
      <c r="J80" s="24" t="str">
        <f>IFERROR(__xludf.DUMMYFUNCTION("""COMPUTED_VALUE"""),"is")</f>
        <v>is</v>
      </c>
      <c r="K80" s="24" t="str">
        <f>IFERROR(__xludf.DUMMYFUNCTION("""COMPUTED_VALUE"""),"difficult.")</f>
        <v>difficult.</v>
      </c>
      <c r="L80" s="24"/>
      <c r="M80" s="24"/>
      <c r="N80" s="24"/>
      <c r="O80" s="24"/>
      <c r="P80" s="25">
        <v>3.0</v>
      </c>
      <c r="Q80" s="25">
        <v>124.0</v>
      </c>
    </row>
    <row r="81" ht="25.5" customHeight="1">
      <c r="A81" s="11">
        <v>80.0</v>
      </c>
      <c r="B81" s="12" t="s">
        <v>11</v>
      </c>
      <c r="C81" s="13" t="s">
        <v>294</v>
      </c>
      <c r="D81" s="14" t="s">
        <v>331</v>
      </c>
      <c r="E81" s="15" t="s">
        <v>332</v>
      </c>
      <c r="F81" s="16" t="s">
        <v>333</v>
      </c>
      <c r="G81" s="17" t="s">
        <v>334</v>
      </c>
      <c r="H81" s="17" t="str">
        <f>IFERROR(__xludf.DUMMYFUNCTION("split(G81, "" "")"),"The")</f>
        <v>The</v>
      </c>
      <c r="I81" s="17" t="str">
        <f>IFERROR(__xludf.DUMMYFUNCTION("""COMPUTED_VALUE"""),"song")</f>
        <v>song</v>
      </c>
      <c r="J81" s="17" t="str">
        <f>IFERROR(__xludf.DUMMYFUNCTION("""COMPUTED_VALUE"""),"is")</f>
        <v>is</v>
      </c>
      <c r="K81" s="17" t="str">
        <f>IFERROR(__xludf.DUMMYFUNCTION("""COMPUTED_VALUE"""),"easy")</f>
        <v>easy</v>
      </c>
      <c r="L81" s="17" t="str">
        <f>IFERROR(__xludf.DUMMYFUNCTION("""COMPUTED_VALUE"""),"to")</f>
        <v>to</v>
      </c>
      <c r="M81" s="17" t="str">
        <f>IFERROR(__xludf.DUMMYFUNCTION("""COMPUTED_VALUE"""),"sing.")</f>
        <v>sing.</v>
      </c>
      <c r="N81" s="17"/>
      <c r="O81" s="17"/>
      <c r="P81" s="18">
        <v>4.0</v>
      </c>
      <c r="Q81" s="18">
        <v>1246.0</v>
      </c>
    </row>
    <row r="82" ht="25.5" customHeight="1">
      <c r="A82" s="3">
        <v>81.0</v>
      </c>
      <c r="B82" s="12" t="s">
        <v>11</v>
      </c>
      <c r="C82" s="13" t="s">
        <v>294</v>
      </c>
      <c r="D82" s="14" t="s">
        <v>335</v>
      </c>
      <c r="E82" s="15" t="s">
        <v>336</v>
      </c>
      <c r="F82" s="16" t="s">
        <v>337</v>
      </c>
      <c r="G82" s="17" t="s">
        <v>338</v>
      </c>
      <c r="H82" s="17" t="str">
        <f>IFERROR(__xludf.DUMMYFUNCTION("split(G82, "" "")"),"The")</f>
        <v>The</v>
      </c>
      <c r="I82" s="17" t="str">
        <f>IFERROR(__xludf.DUMMYFUNCTION("""COMPUTED_VALUE"""),"story")</f>
        <v>story</v>
      </c>
      <c r="J82" s="17" t="str">
        <f>IFERROR(__xludf.DUMMYFUNCTION("""COMPUTED_VALUE"""),"is")</f>
        <v>is</v>
      </c>
      <c r="K82" s="17" t="str">
        <f>IFERROR(__xludf.DUMMYFUNCTION("""COMPUTED_VALUE"""),"sad.")</f>
        <v>sad.</v>
      </c>
      <c r="L82" s="17"/>
      <c r="M82" s="17"/>
      <c r="N82" s="17"/>
      <c r="O82" s="17"/>
      <c r="P82" s="18">
        <v>3.0</v>
      </c>
      <c r="Q82" s="18">
        <v>124.0</v>
      </c>
    </row>
    <row r="83" ht="25.5" customHeight="1">
      <c r="A83" s="11">
        <v>82.0</v>
      </c>
      <c r="B83" s="19" t="s">
        <v>11</v>
      </c>
      <c r="C83" s="20" t="s">
        <v>294</v>
      </c>
      <c r="D83" s="21" t="s">
        <v>339</v>
      </c>
      <c r="E83" s="22" t="s">
        <v>340</v>
      </c>
      <c r="F83" s="23" t="s">
        <v>341</v>
      </c>
      <c r="G83" s="24" t="s">
        <v>342</v>
      </c>
      <c r="H83" s="24" t="str">
        <f>IFERROR(__xludf.DUMMYFUNCTION("split(G83, "" "")"),"The")</f>
        <v>The</v>
      </c>
      <c r="I83" s="24" t="str">
        <f>IFERROR(__xludf.DUMMYFUNCTION("""COMPUTED_VALUE"""),"music")</f>
        <v>music</v>
      </c>
      <c r="J83" s="24" t="str">
        <f>IFERROR(__xludf.DUMMYFUNCTION("""COMPUTED_VALUE"""),"is")</f>
        <v>is</v>
      </c>
      <c r="K83" s="24" t="str">
        <f>IFERROR(__xludf.DUMMYFUNCTION("""COMPUTED_VALUE"""),"loud.")</f>
        <v>loud.</v>
      </c>
      <c r="L83" s="24"/>
      <c r="M83" s="24"/>
      <c r="N83" s="24"/>
      <c r="O83" s="24"/>
      <c r="P83" s="25">
        <v>3.0</v>
      </c>
      <c r="Q83" s="25">
        <v>124.0</v>
      </c>
    </row>
    <row r="84" ht="25.5" customHeight="1">
      <c r="A84" s="3">
        <v>83.0</v>
      </c>
      <c r="B84" s="12" t="s">
        <v>11</v>
      </c>
      <c r="C84" s="13" t="s">
        <v>294</v>
      </c>
      <c r="D84" s="14" t="s">
        <v>343</v>
      </c>
      <c r="E84" s="15" t="s">
        <v>344</v>
      </c>
      <c r="F84" s="16" t="s">
        <v>345</v>
      </c>
      <c r="G84" s="17" t="s">
        <v>346</v>
      </c>
      <c r="H84" s="17" t="str">
        <f>IFERROR(__xludf.DUMMYFUNCTION("split(G84, "" "")"),"The")</f>
        <v>The</v>
      </c>
      <c r="I84" s="17" t="str">
        <f>IFERROR(__xludf.DUMMYFUNCTION("""COMPUTED_VALUE"""),"gallery")</f>
        <v>gallery</v>
      </c>
      <c r="J84" s="17" t="str">
        <f>IFERROR(__xludf.DUMMYFUNCTION("""COMPUTED_VALUE"""),"is")</f>
        <v>is</v>
      </c>
      <c r="K84" s="17" t="str">
        <f>IFERROR(__xludf.DUMMYFUNCTION("""COMPUTED_VALUE"""),"quiet.")</f>
        <v>quiet.</v>
      </c>
      <c r="L84" s="17"/>
      <c r="M84" s="17"/>
      <c r="N84" s="17"/>
      <c r="O84" s="17"/>
      <c r="P84" s="18">
        <v>3.0</v>
      </c>
      <c r="Q84" s="18">
        <v>124.0</v>
      </c>
    </row>
    <row r="85" ht="25.5" customHeight="1">
      <c r="A85" s="11">
        <v>84.0</v>
      </c>
      <c r="B85" s="19" t="s">
        <v>11</v>
      </c>
      <c r="C85" s="20" t="s">
        <v>294</v>
      </c>
      <c r="D85" s="21" t="s">
        <v>347</v>
      </c>
      <c r="E85" s="22" t="s">
        <v>348</v>
      </c>
      <c r="F85" s="23" t="s">
        <v>349</v>
      </c>
      <c r="G85" s="24" t="s">
        <v>350</v>
      </c>
      <c r="H85" s="24" t="str">
        <f>IFERROR(__xludf.DUMMYFUNCTION("split(G85, "" "")"),"The")</f>
        <v>The</v>
      </c>
      <c r="I85" s="24" t="str">
        <f>IFERROR(__xludf.DUMMYFUNCTION("""COMPUTED_VALUE"""),"colors")</f>
        <v>colors</v>
      </c>
      <c r="J85" s="24" t="str">
        <f>IFERROR(__xludf.DUMMYFUNCTION("""COMPUTED_VALUE"""),"are")</f>
        <v>are</v>
      </c>
      <c r="K85" s="24" t="str">
        <f>IFERROR(__xludf.DUMMYFUNCTION("""COMPUTED_VALUE"""),"bright.")</f>
        <v>bright.</v>
      </c>
      <c r="L85" s="24"/>
      <c r="M85" s="24"/>
      <c r="N85" s="24"/>
      <c r="O85" s="24"/>
      <c r="P85" s="25">
        <v>3.0</v>
      </c>
      <c r="Q85" s="25">
        <v>124.0</v>
      </c>
    </row>
    <row r="86" ht="25.5" customHeight="1">
      <c r="A86" s="3">
        <v>85.0</v>
      </c>
      <c r="B86" s="12" t="s">
        <v>11</v>
      </c>
      <c r="C86" s="13" t="s">
        <v>294</v>
      </c>
      <c r="D86" s="14" t="s">
        <v>351</v>
      </c>
      <c r="E86" s="15" t="s">
        <v>352</v>
      </c>
      <c r="F86" s="16" t="s">
        <v>353</v>
      </c>
      <c r="G86" s="17" t="s">
        <v>354</v>
      </c>
      <c r="H86" s="17" t="str">
        <f>IFERROR(__xludf.DUMMYFUNCTION("split(G86, "" "")"),"The")</f>
        <v>The</v>
      </c>
      <c r="I86" s="17" t="str">
        <f>IFERROR(__xludf.DUMMYFUNCTION("""COMPUTED_VALUE"""),"photo")</f>
        <v>photo</v>
      </c>
      <c r="J86" s="17" t="str">
        <f>IFERROR(__xludf.DUMMYFUNCTION("""COMPUTED_VALUE"""),"is")</f>
        <v>is</v>
      </c>
      <c r="K86" s="17" t="str">
        <f>IFERROR(__xludf.DUMMYFUNCTION("""COMPUTED_VALUE"""),"dark.")</f>
        <v>dark.</v>
      </c>
      <c r="L86" s="17"/>
      <c r="M86" s="17"/>
      <c r="N86" s="17"/>
      <c r="O86" s="17"/>
      <c r="P86" s="18">
        <v>3.0</v>
      </c>
      <c r="Q86" s="18">
        <v>124.0</v>
      </c>
    </row>
    <row r="87" ht="25.5" customHeight="1">
      <c r="A87" s="11">
        <v>86.0</v>
      </c>
      <c r="B87" s="19" t="s">
        <v>11</v>
      </c>
      <c r="C87" s="20" t="s">
        <v>294</v>
      </c>
      <c r="D87" s="21" t="s">
        <v>355</v>
      </c>
      <c r="E87" s="22" t="s">
        <v>356</v>
      </c>
      <c r="F87" s="23" t="s">
        <v>357</v>
      </c>
      <c r="G87" s="24" t="s">
        <v>358</v>
      </c>
      <c r="H87" s="24" t="str">
        <f>IFERROR(__xludf.DUMMYFUNCTION("split(G87, "" "")"),"The")</f>
        <v>The</v>
      </c>
      <c r="I87" s="24" t="str">
        <f>IFERROR(__xludf.DUMMYFUNCTION("""COMPUTED_VALUE"""),"museum")</f>
        <v>museum</v>
      </c>
      <c r="J87" s="24" t="str">
        <f>IFERROR(__xludf.DUMMYFUNCTION("""COMPUTED_VALUE"""),"has")</f>
        <v>has</v>
      </c>
      <c r="K87" s="24" t="str">
        <f>IFERROR(__xludf.DUMMYFUNCTION("""COMPUTED_VALUE"""),"old")</f>
        <v>old</v>
      </c>
      <c r="L87" s="24" t="str">
        <f>IFERROR(__xludf.DUMMYFUNCTION("""COMPUTED_VALUE"""),"pictures.")</f>
        <v>pictures.</v>
      </c>
      <c r="M87" s="24"/>
      <c r="N87" s="24"/>
      <c r="O87" s="24"/>
      <c r="P87" s="25">
        <v>4.0</v>
      </c>
      <c r="Q87" s="25">
        <v>1245.0</v>
      </c>
    </row>
    <row r="88" ht="25.5" customHeight="1">
      <c r="A88" s="3">
        <v>87.0</v>
      </c>
      <c r="B88" s="12" t="s">
        <v>11</v>
      </c>
      <c r="C88" s="13" t="s">
        <v>294</v>
      </c>
      <c r="D88" s="14" t="s">
        <v>359</v>
      </c>
      <c r="E88" s="15" t="s">
        <v>360</v>
      </c>
      <c r="F88" s="16" t="s">
        <v>361</v>
      </c>
      <c r="G88" s="17" t="s">
        <v>362</v>
      </c>
      <c r="H88" s="17" t="str">
        <f>IFERROR(__xludf.DUMMYFUNCTION("split(G88, "" "")"),"This")</f>
        <v>This</v>
      </c>
      <c r="I88" s="17" t="str">
        <f>IFERROR(__xludf.DUMMYFUNCTION("""COMPUTED_VALUE"""),"is")</f>
        <v>is</v>
      </c>
      <c r="J88" s="17" t="str">
        <f>IFERROR(__xludf.DUMMYFUNCTION("""COMPUTED_VALUE"""),"a")</f>
        <v>a</v>
      </c>
      <c r="K88" s="17" t="str">
        <f>IFERROR(__xludf.DUMMYFUNCTION("""COMPUTED_VALUE"""),"new")</f>
        <v>new</v>
      </c>
      <c r="L88" s="17" t="str">
        <f>IFERROR(__xludf.DUMMYFUNCTION("""COMPUTED_VALUE"""),"song.")</f>
        <v>song.</v>
      </c>
      <c r="M88" s="17"/>
      <c r="N88" s="17"/>
      <c r="O88" s="17"/>
      <c r="P88" s="18">
        <v>3.0</v>
      </c>
      <c r="Q88" s="18">
        <v>145.0</v>
      </c>
    </row>
    <row r="89" ht="25.5" customHeight="1">
      <c r="A89" s="11">
        <v>88.0</v>
      </c>
      <c r="B89" s="19" t="s">
        <v>11</v>
      </c>
      <c r="C89" s="20" t="s">
        <v>294</v>
      </c>
      <c r="D89" s="21" t="s">
        <v>363</v>
      </c>
      <c r="E89" s="22" t="s">
        <v>364</v>
      </c>
      <c r="F89" s="23" t="s">
        <v>365</v>
      </c>
      <c r="G89" s="24" t="s">
        <v>366</v>
      </c>
      <c r="H89" s="24" t="str">
        <f>IFERROR(__xludf.DUMMYFUNCTION("split(G89, "" "")"),"The")</f>
        <v>The</v>
      </c>
      <c r="I89" s="24" t="str">
        <f>IFERROR(__xludf.DUMMYFUNCTION("""COMPUTED_VALUE"""),"story")</f>
        <v>story</v>
      </c>
      <c r="J89" s="24" t="str">
        <f>IFERROR(__xludf.DUMMYFUNCTION("""COMPUTED_VALUE"""),"is")</f>
        <v>is</v>
      </c>
      <c r="K89" s="24" t="str">
        <f>IFERROR(__xludf.DUMMYFUNCTION("""COMPUTED_VALUE"""),"interesting.")</f>
        <v>interesting.</v>
      </c>
      <c r="L89" s="24"/>
      <c r="M89" s="24"/>
      <c r="N89" s="24"/>
      <c r="O89" s="24"/>
      <c r="P89" s="25">
        <v>3.0</v>
      </c>
      <c r="Q89" s="25">
        <v>124.0</v>
      </c>
    </row>
    <row r="90" ht="25.5" customHeight="1">
      <c r="A90" s="3">
        <v>89.0</v>
      </c>
      <c r="B90" s="12" t="s">
        <v>11</v>
      </c>
      <c r="C90" s="13" t="s">
        <v>294</v>
      </c>
      <c r="D90" s="14" t="s">
        <v>367</v>
      </c>
      <c r="E90" s="15" t="s">
        <v>368</v>
      </c>
      <c r="F90" s="16" t="s">
        <v>369</v>
      </c>
      <c r="G90" s="17" t="s">
        <v>370</v>
      </c>
      <c r="H90" s="17" t="str">
        <f>IFERROR(__xludf.DUMMYFUNCTION("split(G90, "" "")"),"The")</f>
        <v>The</v>
      </c>
      <c r="I90" s="17" t="str">
        <f>IFERROR(__xludf.DUMMYFUNCTION("""COMPUTED_VALUE"""),"film")</f>
        <v>film</v>
      </c>
      <c r="J90" s="17" t="str">
        <f>IFERROR(__xludf.DUMMYFUNCTION("""COMPUTED_VALUE"""),"is")</f>
        <v>is</v>
      </c>
      <c r="K90" s="17" t="str">
        <f>IFERROR(__xludf.DUMMYFUNCTION("""COMPUTED_VALUE"""),"boring.")</f>
        <v>boring.</v>
      </c>
      <c r="L90" s="17"/>
      <c r="M90" s="17"/>
      <c r="N90" s="17"/>
      <c r="O90" s="17"/>
      <c r="P90" s="18">
        <v>3.0</v>
      </c>
      <c r="Q90" s="18">
        <v>124.0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