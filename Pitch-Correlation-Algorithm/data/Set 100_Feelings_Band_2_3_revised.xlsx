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ELTS Feelings Band 2-3" sheetId="1" r:id="rId4"/>
  </sheets>
  <definedNames/>
  <calcPr/>
  <extLst>
    <ext uri="GoogleSheetsCustomDataVersion2">
      <go:sheetsCustomData xmlns:go="http://customooxmlschemas.google.com/" r:id="rId5" roundtripDataChecksum="LwCVfhIiUG63ASUsF5tXcIjLoey7IMBzHTkLLxqU/9s="/>
    </ext>
  </extLst>
</workbook>
</file>

<file path=xl/sharedStrings.xml><?xml version="1.0" encoding="utf-8"?>
<sst xmlns="http://schemas.openxmlformats.org/spreadsheetml/2006/main" count="599" uniqueCount="396">
  <si>
    <t>STT</t>
  </si>
  <si>
    <t>IELTS Band Level</t>
  </si>
  <si>
    <t>Phân loại</t>
  </si>
  <si>
    <t>Từ vựng &amp; Từ loại</t>
  </si>
  <si>
    <t>Phiên âm</t>
  </si>
  <si>
    <t>Nghĩa tiếng Việt</t>
  </si>
  <si>
    <t>Ví dụ mẫu siêu đơn giản (Band 2.0-3.0)</t>
  </si>
  <si>
    <t>Valid</t>
  </si>
  <si>
    <t>Audio check</t>
  </si>
  <si>
    <t>Tổng số từ nhấn</t>
  </si>
  <si>
    <t>Vị trí nhấn</t>
  </si>
  <si>
    <t>Band 2.0 - 3.0</t>
  </si>
  <si>
    <t>Cảm xúc</t>
  </si>
  <si>
    <t>Love (n)</t>
  </si>
  <si>
    <t>/lʌv/</t>
  </si>
  <si>
    <t>Tình yêu</t>
  </si>
  <si>
    <t>Love makes people happy.</t>
  </si>
  <si>
    <t>Happiness (n)</t>
  </si>
  <si>
    <t>/ˈhæp.i.nəs/</t>
  </si>
  <si>
    <t>Hạnh phúc</t>
  </si>
  <si>
    <t>Happiness is important in life.</t>
  </si>
  <si>
    <t>Sadness (n)</t>
  </si>
  <si>
    <t>/ˈsæd.nəs/</t>
  </si>
  <si>
    <t>Nỗi buồn</t>
  </si>
  <si>
    <t>Sadness can pass with time.</t>
  </si>
  <si>
    <t>Anger (n)</t>
  </si>
  <si>
    <t>/ˈæŋ.ɡər/</t>
  </si>
  <si>
    <t>Sự tức giận</t>
  </si>
  <si>
    <t>Anger is a strong feeling.</t>
  </si>
  <si>
    <t>Fear (n)</t>
  </si>
  <si>
    <t>/fɪər/</t>
  </si>
  <si>
    <t>Nỗi sợ</t>
  </si>
  <si>
    <t>Fear can stop people.</t>
  </si>
  <si>
    <t>Hope (n)</t>
  </si>
  <si>
    <t>/həʊp/</t>
  </si>
  <si>
    <t>Hy vọng</t>
  </si>
  <si>
    <t>Hope helps me try again.</t>
  </si>
  <si>
    <t>Joy (n)</t>
  </si>
  <si>
    <t>/dʒɔɪ/</t>
  </si>
  <si>
    <t>Niềm vui</t>
  </si>
  <si>
    <t>Joy shows on her face.</t>
  </si>
  <si>
    <t>Worry (n)</t>
  </si>
  <si>
    <t>/ˈwʌr.i/</t>
  </si>
  <si>
    <t>Sự lo lắng</t>
  </si>
  <si>
    <t>Worry keeps me awake.</t>
  </si>
  <si>
    <t>Stress (n)</t>
  </si>
  <si>
    <t>/stres/</t>
  </si>
  <si>
    <t>Căng thẳng</t>
  </si>
  <si>
    <t>Stress makes students tired.</t>
  </si>
  <si>
    <t>Surprise (n)</t>
  </si>
  <si>
    <t>/səˈpraɪz/</t>
  </si>
  <si>
    <t>Sự ngạc nhiên</t>
  </si>
  <si>
    <t>The gift is a surprise.</t>
  </si>
  <si>
    <t>Peace (n)</t>
  </si>
  <si>
    <t>/piːs/</t>
  </si>
  <si>
    <t>Sự bình yên</t>
  </si>
  <si>
    <t>Peace is good for the heart.</t>
  </si>
  <si>
    <t>Pride (n)</t>
  </si>
  <si>
    <t>/praɪd/</t>
  </si>
  <si>
    <t>Sự tự hào</t>
  </si>
  <si>
    <t>Pride makes him smile.</t>
  </si>
  <si>
    <t>Shame (n)</t>
  </si>
  <si>
    <t>/ʃeɪm/</t>
  </si>
  <si>
    <t>Sự xấu hổ</t>
  </si>
  <si>
    <t>Shame makes her quiet.</t>
  </si>
  <si>
    <t>Trust (n)</t>
  </si>
  <si>
    <t>/trʌst/</t>
  </si>
  <si>
    <t>Sự tin tưởng</t>
  </si>
  <si>
    <t>Trust is important in love.</t>
  </si>
  <si>
    <t>Care (n)</t>
  </si>
  <si>
    <t>/keər/</t>
  </si>
  <si>
    <t>Sự quan tâm</t>
  </si>
  <si>
    <t>Care makes friendship strong.</t>
  </si>
  <si>
    <t>Kindness (n)</t>
  </si>
  <si>
    <t>/ˈkaɪnd.nəs/</t>
  </si>
  <si>
    <t>Lòng tốt</t>
  </si>
  <si>
    <t>Kindness can change a day.</t>
  </si>
  <si>
    <t>Friendship (n)</t>
  </si>
  <si>
    <t>/ˈfrend.ʃɪp/</t>
  </si>
  <si>
    <t>Tình bạn</t>
  </si>
  <si>
    <t>Friendship is a special gift.</t>
  </si>
  <si>
    <t>Feeling (n)</t>
  </si>
  <si>
    <t>/ˈfiː.lɪŋ/</t>
  </si>
  <si>
    <t>Cảm giác</t>
  </si>
  <si>
    <t>This feeling is new to me.</t>
  </si>
  <si>
    <t>Heart (n)</t>
  </si>
  <si>
    <t>/hɑːt/</t>
  </si>
  <si>
    <t>Trái tim</t>
  </si>
  <si>
    <t>Her heart is full of love.</t>
  </si>
  <si>
    <t>Smile (n)</t>
  </si>
  <si>
    <t>/smaɪl/</t>
  </si>
  <si>
    <t>Nụ cười</t>
  </si>
  <si>
    <t>A smile can show happiness.</t>
  </si>
  <si>
    <t>Gia đình</t>
  </si>
  <si>
    <t>Mother (n)</t>
  </si>
  <si>
    <t>/ˈmʌð.ər/</t>
  </si>
  <si>
    <t>Mẹ</t>
  </si>
  <si>
    <t>My mother loves me.</t>
  </si>
  <si>
    <t>Child (n)</t>
  </si>
  <si>
    <t>/tʃaɪld/</t>
  </si>
  <si>
    <t>Đứa trẻ</t>
  </si>
  <si>
    <t>The child feels safe at home.</t>
  </si>
  <si>
    <t>Brother (n)</t>
  </si>
  <si>
    <t>/ˈbrʌð.ər/</t>
  </si>
  <si>
    <t>Anh / Em trai</t>
  </si>
  <si>
    <t>My brother is my friend.</t>
  </si>
  <si>
    <t>Sister (n)</t>
  </si>
  <si>
    <t>/ˈsɪs.tər/</t>
  </si>
  <si>
    <t>Chị / Em gái</t>
  </si>
  <si>
    <t>My sister smiles at me.</t>
  </si>
  <si>
    <t>Grandmother (n)</t>
  </si>
  <si>
    <t>/ˈɡræn.mʌð.ər/</t>
  </si>
  <si>
    <t>Bà</t>
  </si>
  <si>
    <t>My grandmother tells warm stories.</t>
  </si>
  <si>
    <t>Grandfather (n)</t>
  </si>
  <si>
    <t>/ˈɡræn.fɑː.ðər/</t>
  </si>
  <si>
    <t>Ông</t>
  </si>
  <si>
    <t>My grandfather loves our family.</t>
  </si>
  <si>
    <t>Husband (n)</t>
  </si>
  <si>
    <t>/ˈhʌz.bənd/</t>
  </si>
  <si>
    <t>Chồng</t>
  </si>
  <si>
    <t>Her husband is very kind.</t>
  </si>
  <si>
    <t>Wife (n)</t>
  </si>
  <si>
    <t>/waɪf/</t>
  </si>
  <si>
    <t>Vợ</t>
  </si>
  <si>
    <t>His wife makes him happy.</t>
  </si>
  <si>
    <t>Partner (n)</t>
  </si>
  <si>
    <t>/ˈpɑːt.nər/</t>
  </si>
  <si>
    <t>Bạn đời / Người yêu</t>
  </si>
  <si>
    <t>My partner supports me.</t>
  </si>
  <si>
    <t>Couple (n)</t>
  </si>
  <si>
    <t>/ˈkʌp.əl/</t>
  </si>
  <si>
    <t>Cặp đôi</t>
  </si>
  <si>
    <t>The couple looks happy.</t>
  </si>
  <si>
    <t>Boyfriend (n)</t>
  </si>
  <si>
    <t>/ˈbɔɪ.frend/</t>
  </si>
  <si>
    <t>Bạn trai</t>
  </si>
  <si>
    <t>Her boyfriend sends a message.</t>
  </si>
  <si>
    <t>Girlfriend (n)</t>
  </si>
  <si>
    <t>/ˈɡɜːl.frend/</t>
  </si>
  <si>
    <t>Bạn gái</t>
  </si>
  <si>
    <t>His girlfriend likes flowers.</t>
  </si>
  <si>
    <t>Friend (n)</t>
  </si>
  <si>
    <t>/frend/</t>
  </si>
  <si>
    <t>Bạn</t>
  </si>
  <si>
    <t>A good friend listens to you.</t>
  </si>
  <si>
    <t>Best friend (n)</t>
  </si>
  <si>
    <t>/best frend/</t>
  </si>
  <si>
    <t>Bạn thân</t>
  </si>
  <si>
    <t>My best friend knows me well.</t>
  </si>
  <si>
    <t>Family (n)</t>
  </si>
  <si>
    <t>/ˈfæm.əl.i/</t>
  </si>
  <si>
    <t>Family gives me love.</t>
  </si>
  <si>
    <t>Marriage (n)</t>
  </si>
  <si>
    <t>/ˈmær.ɪdʒ/</t>
  </si>
  <si>
    <t>Hôn nhân</t>
  </si>
  <si>
    <t>Marriage needs trust and care.</t>
  </si>
  <si>
    <t>Hug (n)</t>
  </si>
  <si>
    <t>/hʌɡ/</t>
  </si>
  <si>
    <t>Cái ôm</t>
  </si>
  <si>
    <t>A hug can make me calm.</t>
  </si>
  <si>
    <t>Kiss (n)</t>
  </si>
  <si>
    <t>/kɪs/</t>
  </si>
  <si>
    <t>Nụ hôn</t>
  </si>
  <si>
    <t>The mother gives a kiss.</t>
  </si>
  <si>
    <t>Quan hệ</t>
  </si>
  <si>
    <t>Relationship (n)</t>
  </si>
  <si>
    <t>/rɪˈleɪ.ʃən.ʃɪp/</t>
  </si>
  <si>
    <t>Mối quan hệ</t>
  </si>
  <si>
    <t>A good relationship needs respect.</t>
  </si>
  <si>
    <t>Date (n)</t>
  </si>
  <si>
    <t>/deɪt/</t>
  </si>
  <si>
    <t>Buổi hẹn</t>
  </si>
  <si>
    <t>They have a date tonight.</t>
  </si>
  <si>
    <t>Wedding (n)</t>
  </si>
  <si>
    <t>/ˈwed.ɪŋ/</t>
  </si>
  <si>
    <t>Đám cưới</t>
  </si>
  <si>
    <t>The wedding is full of love.</t>
  </si>
  <si>
    <t>Gift (n)</t>
  </si>
  <si>
    <t>/ɡɪft/</t>
  </si>
  <si>
    <t>Món quà</t>
  </si>
  <si>
    <t>I give my friend a gift.</t>
  </si>
  <si>
    <t>Letter (n)</t>
  </si>
  <si>
    <t>/ˈlet.ər/</t>
  </si>
  <si>
    <t>Lá thư</t>
  </si>
  <si>
    <t>She writes a love letter.</t>
  </si>
  <si>
    <t>Message (n)</t>
  </si>
  <si>
    <t>/ˈmes.ɪdʒ/</t>
  </si>
  <si>
    <t>Tin nhắn</t>
  </si>
  <si>
    <t>He sends a kind message.</t>
  </si>
  <si>
    <t>Promise (n)</t>
  </si>
  <si>
    <t>/ˈprɒm.ɪs/</t>
  </si>
  <si>
    <t>Lời hứa</t>
  </si>
  <si>
    <t>A promise is important.</t>
  </si>
  <si>
    <t>Secret (n)</t>
  </si>
  <si>
    <t>/ˈsiː.krət/</t>
  </si>
  <si>
    <t>Bí mật</t>
  </si>
  <si>
    <t>Friends can keep a secret.</t>
  </si>
  <si>
    <t>Memory (n)</t>
  </si>
  <si>
    <t>/ˈmem.ər.i/</t>
  </si>
  <si>
    <t>Kỷ niệm</t>
  </si>
  <si>
    <t>This memory makes me smile.</t>
  </si>
  <si>
    <t>Support (n)</t>
  </si>
  <si>
    <t>/səˈpɔːt/</t>
  </si>
  <si>
    <t>Sự hỗ trợ</t>
  </si>
  <si>
    <t>Support helps me feel strong.</t>
  </si>
  <si>
    <t>Advice (n)</t>
  </si>
  <si>
    <t>/ədˈvaɪs/</t>
  </si>
  <si>
    <t>Lời khuyên</t>
  </si>
  <si>
    <t>Her advice helps me.</t>
  </si>
  <si>
    <t>Help (n)</t>
  </si>
  <si>
    <t>/help/</t>
  </si>
  <si>
    <t>Sự giúp đỡ</t>
  </si>
  <si>
    <t>I need help from a friend.</t>
  </si>
  <si>
    <t>Respect (n)</t>
  </si>
  <si>
    <t>/rɪˈspekt/</t>
  </si>
  <si>
    <t>Sự tôn trọng</t>
  </si>
  <si>
    <t>Respect makes love stronger.</t>
  </si>
  <si>
    <t>Talk (n)</t>
  </si>
  <si>
    <t>/tɔːk/</t>
  </si>
  <si>
    <t>Cuộc nói chuyện</t>
  </si>
  <si>
    <t>We have a long talk.</t>
  </si>
  <si>
    <t>Meeting (n)</t>
  </si>
  <si>
    <t>/ˈmiː.tɪŋ/</t>
  </si>
  <si>
    <t>Cuộc gặp</t>
  </si>
  <si>
    <t>The meeting is friendly.</t>
  </si>
  <si>
    <t>Party (n)</t>
  </si>
  <si>
    <t>/ˈpɑː.ti/</t>
  </si>
  <si>
    <t>Bữa tiệc</t>
  </si>
  <si>
    <t>The party makes everyone happy.</t>
  </si>
  <si>
    <t>Visit (n)</t>
  </si>
  <si>
    <t>/ˈvɪz.ɪt/</t>
  </si>
  <si>
    <t>Chuyến thăm</t>
  </si>
  <si>
    <t>Her visit makes me happy.</t>
  </si>
  <si>
    <t>Apology (n)</t>
  </si>
  <si>
    <t>/əˈpɒl.ə.dʒi/</t>
  </si>
  <si>
    <t>Lời xin lỗi</t>
  </si>
  <si>
    <t>His apology is honest.</t>
  </si>
  <si>
    <t>Thanks (n)</t>
  </si>
  <si>
    <t>/θæŋks/</t>
  </si>
  <si>
    <t>Lời cảm ơn</t>
  </si>
  <si>
    <t>Thanks can show care.</t>
  </si>
  <si>
    <t>Goodbye (n)</t>
  </si>
  <si>
    <t>/ˌɡʊdˈbaɪ/</t>
  </si>
  <si>
    <t>Lời tạm biệt</t>
  </si>
  <si>
    <t>Goodbye can be sad.</t>
  </si>
  <si>
    <t>Động từ</t>
  </si>
  <si>
    <t>Love (v)</t>
  </si>
  <si>
    <t>Yêu</t>
  </si>
  <si>
    <t>I love my family.</t>
  </si>
  <si>
    <t>Like (v)</t>
  </si>
  <si>
    <t>/laɪk/</t>
  </si>
  <si>
    <t>Thích</t>
  </si>
  <si>
    <t>I like my new friend.</t>
  </si>
  <si>
    <t>Miss (v)</t>
  </si>
  <si>
    <t>/mɪs/</t>
  </si>
  <si>
    <t>Nhớ</t>
  </si>
  <si>
    <t>I miss my mother.</t>
  </si>
  <si>
    <t>Care (v)</t>
  </si>
  <si>
    <t>Quan tâm</t>
  </si>
  <si>
    <t>Parents care for their children.</t>
  </si>
  <si>
    <t>Help (v)</t>
  </si>
  <si>
    <t>Giúp đỡ</t>
  </si>
  <si>
    <t>Friends help each other.</t>
  </si>
  <si>
    <t>Trust (v)</t>
  </si>
  <si>
    <t>Tin tưởng</t>
  </si>
  <si>
    <t>I trust my best friend.</t>
  </si>
  <si>
    <t>Share (v)</t>
  </si>
  <si>
    <t>/ʃeər/</t>
  </si>
  <si>
    <t>Chia sẻ</t>
  </si>
  <si>
    <t>We share our feelings.</t>
  </si>
  <si>
    <t>Hug (v)</t>
  </si>
  <si>
    <t>Ôm</t>
  </si>
  <si>
    <t>She hugs her child.</t>
  </si>
  <si>
    <t>Kiss (v)</t>
  </si>
  <si>
    <t>Hôn</t>
  </si>
  <si>
    <t>The mother kisses the baby.</t>
  </si>
  <si>
    <t>Smile (v)</t>
  </si>
  <si>
    <t>Mỉm cười</t>
  </si>
  <si>
    <t>He smiles when he is happy.</t>
  </si>
  <si>
    <t>Cry (v)</t>
  </si>
  <si>
    <t>/kraɪ/</t>
  </si>
  <si>
    <t>Khóc</t>
  </si>
  <si>
    <t>The child cries at night.</t>
  </si>
  <si>
    <t>Laugh (v)</t>
  </si>
  <si>
    <t>/lɑːf/</t>
  </si>
  <si>
    <t>Cười</t>
  </si>
  <si>
    <t>We laugh at funny stories.</t>
  </si>
  <si>
    <t>Feel (v)</t>
  </si>
  <si>
    <t>/fiːl/</t>
  </si>
  <si>
    <t>Cảm thấy</t>
  </si>
  <si>
    <t>I feel happy today.</t>
  </si>
  <si>
    <t>Talk (v)</t>
  </si>
  <si>
    <t>Nói chuyện</t>
  </si>
  <si>
    <t>We talk about our feelings.</t>
  </si>
  <si>
    <t>Listen (v)</t>
  </si>
  <si>
    <t>/ˈlɪs.ən/</t>
  </si>
  <si>
    <t>Lắng nghe</t>
  </si>
  <si>
    <t>Good friends listen carefully.</t>
  </si>
  <si>
    <t>Forgive (v)</t>
  </si>
  <si>
    <t>/fəˈɡɪv/</t>
  </si>
  <si>
    <t>Tha thứ</t>
  </si>
  <si>
    <t>I forgive my friend.</t>
  </si>
  <si>
    <t>Promise (v)</t>
  </si>
  <si>
    <t>Hứa</t>
  </si>
  <si>
    <t>I promise to help you.</t>
  </si>
  <si>
    <t>Remember (v)</t>
  </si>
  <si>
    <t>/rɪˈmem.bər/</t>
  </si>
  <si>
    <t>I remember our first meeting.</t>
  </si>
  <si>
    <t>Thank (v)</t>
  </si>
  <si>
    <t>/θæŋk/</t>
  </si>
  <si>
    <t>Cảm ơn</t>
  </si>
  <si>
    <t>I thank my parents.</t>
  </si>
  <si>
    <t>Support (v)</t>
  </si>
  <si>
    <t>Ủng hộ / Hỗ trợ</t>
  </si>
  <si>
    <t>My family supports me.</t>
  </si>
  <si>
    <t>Tính từ</t>
  </si>
  <si>
    <t>Happy (adj)</t>
  </si>
  <si>
    <t>/ˈhæp.i/</t>
  </si>
  <si>
    <t>I am happy with my friends.</t>
  </si>
  <si>
    <t>Sad (adj)</t>
  </si>
  <si>
    <t>/sæd/</t>
  </si>
  <si>
    <t>Buồn</t>
  </si>
  <si>
    <t>She feels sad today.</t>
  </si>
  <si>
    <t>Angry (adj)</t>
  </si>
  <si>
    <t>/ˈæŋ.ɡri/</t>
  </si>
  <si>
    <t>Tức giận</t>
  </si>
  <si>
    <t>He is angry with me.</t>
  </si>
  <si>
    <t>Afraid (adj)</t>
  </si>
  <si>
    <t>/əˈfreɪd/</t>
  </si>
  <si>
    <t>Sợ hãi</t>
  </si>
  <si>
    <t>The child is afraid of the dark.</t>
  </si>
  <si>
    <t>Lonely (adj)</t>
  </si>
  <si>
    <t>/ˈləʊn.li/</t>
  </si>
  <si>
    <t>Cô đơn</t>
  </si>
  <si>
    <t>Old people can feel lonely.</t>
  </si>
  <si>
    <t>Excited (adj)</t>
  </si>
  <si>
    <t>/ɪkˈsaɪ.tɪd/</t>
  </si>
  <si>
    <t>Hào hứng</t>
  </si>
  <si>
    <t>I am excited to meet her.</t>
  </si>
  <si>
    <t>Calm (adj)</t>
  </si>
  <si>
    <t>/kɑːm/</t>
  </si>
  <si>
    <t>Bình tĩnh</t>
  </si>
  <si>
    <t>His voice is calm.</t>
  </si>
  <si>
    <t>Nervous (adj)</t>
  </si>
  <si>
    <t>/ˈnɜː.vəs/</t>
  </si>
  <si>
    <t>Lo lắng</t>
  </si>
  <si>
    <t>She is nervous before the date.</t>
  </si>
  <si>
    <t>Proud (adj)</t>
  </si>
  <si>
    <t>/praʊd/</t>
  </si>
  <si>
    <t>Tự hào</t>
  </si>
  <si>
    <t>My parents are proud of me.</t>
  </si>
  <si>
    <t>Kind (adj)</t>
  </si>
  <si>
    <t>/kaɪnd/</t>
  </si>
  <si>
    <t>Tốt bụng</t>
  </si>
  <si>
    <t>A kind friend helps you.</t>
  </si>
  <si>
    <t>Friendly (adj)</t>
  </si>
  <si>
    <t>/ˈfrend.li/</t>
  </si>
  <si>
    <t>Thân thiện</t>
  </si>
  <si>
    <t>She is friendly and warm.</t>
  </si>
  <si>
    <t>Honest (adj)</t>
  </si>
  <si>
    <t>/ˈɒn.ɪst/</t>
  </si>
  <si>
    <t>Thật thà</t>
  </si>
  <si>
    <t>An honest person tells the truth.</t>
  </si>
  <si>
    <t>Sorry (adj)</t>
  </si>
  <si>
    <t>/ˈsɒr.i/</t>
  </si>
  <si>
    <t>Xin lỗi / Hối tiếc</t>
  </si>
  <si>
    <t>I am sorry for my mistake.</t>
  </si>
  <si>
    <t>Sweet (adj)</t>
  </si>
  <si>
    <t>/swiːt/</t>
  </si>
  <si>
    <t>Ngọt ngào</t>
  </si>
  <si>
    <t>That is a sweet message.</t>
  </si>
  <si>
    <t>Lovely (adj)</t>
  </si>
  <si>
    <t>/ˈlʌv.li/</t>
  </si>
  <si>
    <t>Đáng yêu</t>
  </si>
  <si>
    <t>She has a lovely smile.</t>
  </si>
  <si>
    <t>Strong (adj)</t>
  </si>
  <si>
    <t>/strɒŋ/</t>
  </si>
  <si>
    <t>Mạnh mẽ</t>
  </si>
  <si>
    <t>Their love is strong.</t>
  </si>
  <si>
    <t>Close (adj)</t>
  </si>
  <si>
    <t>/kləʊs/</t>
  </si>
  <si>
    <t>Thân thiết</t>
  </si>
  <si>
    <t>We are close friends.</t>
  </si>
  <si>
    <t>Shy (adj)</t>
  </si>
  <si>
    <t>/ʃaɪ/</t>
  </si>
  <si>
    <t>Nhút nhát</t>
  </si>
  <si>
    <t>He is shy with new people.</t>
  </si>
  <si>
    <t>Brave (adj)</t>
  </si>
  <si>
    <t>/breɪv/</t>
  </si>
  <si>
    <t>Dũng cảm</t>
  </si>
  <si>
    <t>She is brave and honest.</t>
  </si>
  <si>
    <t>Thankful (adj)</t>
  </si>
  <si>
    <t>/ˈθæŋk.fəl/</t>
  </si>
  <si>
    <t>Biết ơn</t>
  </si>
  <si>
    <t>I am thankful for your help.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</si>
</sst>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0.0"/>
      <color rgb="FF2F855A"/>
      <name val="Calibri"/>
    </font>
    <font>
      <b/>
      <sz val="11.0"/>
      <color rgb="FF1A202C"/>
      <name val="Calibri"/>
    </font>
    <font>
      <i/>
      <sz val="10.0"/>
      <color rgb="FF718096"/>
      <name val="Calibri"/>
    </font>
    <font>
      <sz val="10.0"/>
      <color rgb="FF2D3748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D3748"/>
        <bgColor rgb="FF2D3748"/>
      </patternFill>
    </fill>
    <fill>
      <patternFill patternType="solid">
        <fgColor rgb="FFFFFFFF"/>
        <bgColor rgb="FFFFFFFF"/>
      </patternFill>
    </fill>
    <fill>
      <patternFill patternType="solid">
        <fgColor rgb="FFF7FAFC"/>
        <bgColor rgb="FFF7FAFC"/>
      </patternFill>
    </fill>
    <fill>
      <patternFill patternType="solid">
        <fgColor theme="0"/>
        <bgColor theme="0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bottom style="thin">
        <color rgb="FFE2E8F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bottom" wrapText="1"/>
    </xf>
    <xf borderId="3" fillId="3" fontId="2" numFmtId="0" xfId="0" applyAlignment="1" applyBorder="1" applyFill="1" applyFont="1">
      <alignment horizontal="center" readingOrder="0" vertical="center"/>
    </xf>
    <xf borderId="3" fillId="3" fontId="3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center" vertical="center"/>
    </xf>
    <xf borderId="3" fillId="3" fontId="4" numFmtId="0" xfId="0" applyAlignment="1" applyBorder="1" applyFill="1" applyFont="1">
      <alignment horizontal="left" vertical="center"/>
    </xf>
    <xf borderId="3" fillId="3" fontId="5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left" vertical="center"/>
    </xf>
    <xf borderId="3" fillId="3" fontId="6" numFmtId="0" xfId="0" applyAlignment="1" applyBorder="1" applyFill="1" applyFont="1">
      <alignment horizontal="left" vertical="center"/>
    </xf>
    <xf borderId="4" fillId="3" fontId="2" numFmtId="0" xfId="0" applyAlignment="1" applyBorder="1" applyFill="1" applyFont="1">
      <alignment readingOrder="0" vertical="bottom"/>
    </xf>
    <xf borderId="4" fillId="3" fontId="2" numFmtId="0" xfId="0" applyAlignment="1" applyBorder="1" applyFill="1" applyFont="1">
      <alignment horizontal="center" readingOrder="0" vertical="bottom"/>
    </xf>
    <xf borderId="3" fillId="4" fontId="2" numFmtId="0" xfId="0" applyAlignment="1" applyBorder="1" applyFill="1" applyFont="1">
      <alignment horizontal="center" readingOrder="0" vertical="center"/>
    </xf>
    <xf borderId="3" fillId="4" fontId="3" numFmtId="0" xfId="0" applyAlignment="1" applyBorder="1" applyFill="1" applyFont="1">
      <alignment horizontal="center" vertical="center"/>
    </xf>
    <xf borderId="3" fillId="4" fontId="2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left" vertical="center"/>
    </xf>
    <xf borderId="3" fillId="4" fontId="5" numFmtId="0" xfId="0" applyAlignment="1" applyBorder="1" applyFill="1" applyFont="1">
      <alignment horizontal="center" vertical="center"/>
    </xf>
    <xf borderId="3" fillId="4" fontId="2" numFmtId="0" xfId="0" applyAlignment="1" applyBorder="1" applyFill="1" applyFont="1">
      <alignment horizontal="left" vertical="center"/>
    </xf>
    <xf borderId="3" fillId="4" fontId="6" numFmtId="0" xfId="0" applyAlignment="1" applyBorder="1" applyFill="1" applyFont="1">
      <alignment horizontal="left" vertical="center"/>
    </xf>
    <xf borderId="3" fillId="4" fontId="2" numFmtId="0" xfId="0" applyAlignment="1" applyBorder="1" applyFill="1" applyFont="1">
      <alignment readingOrder="0" vertical="bottom"/>
    </xf>
    <xf borderId="3" fillId="3" fontId="2" numFmtId="0" xfId="0" applyAlignment="1" applyBorder="1" applyFill="1" applyFont="1">
      <alignment readingOrder="0" vertical="bottom"/>
    </xf>
    <xf borderId="3" fillId="5" fontId="6" numFmtId="0" xfId="0" applyAlignment="1" applyBorder="1" applyFill="1" applyFont="1">
      <alignment horizontal="left" vertical="center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6.0"/>
    <col customWidth="1" min="3" max="3" width="15.0"/>
    <col customWidth="1" min="4" max="4" width="25.0"/>
    <col customWidth="1" min="5" max="5" width="20.0"/>
    <col customWidth="1" min="6" max="6" width="28.0"/>
    <col customWidth="1" min="7" max="7" width="45.0"/>
    <col customWidth="1" min="8" max="8" width="10.0"/>
    <col customWidth="1" min="9" max="9" width="12.43"/>
    <col customWidth="1" min="10" max="10" width="11.29"/>
    <col customWidth="1" min="11" max="15" width="7.0"/>
    <col customWidth="1" min="16" max="16" width="9.14"/>
    <col customWidth="1" min="17" max="17" width="8.71"/>
    <col customWidth="1" min="18" max="18" width="13.43"/>
    <col customWidth="1" min="19" max="26" width="8.71"/>
  </cols>
  <sheetData>
    <row r="1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>
        <v>1.0</v>
      </c>
      <c r="I1" s="1">
        <v>2.0</v>
      </c>
      <c r="J1" s="1">
        <v>3.0</v>
      </c>
      <c r="K1" s="1">
        <v>4.0</v>
      </c>
      <c r="L1" s="1">
        <v>5.0</v>
      </c>
      <c r="M1" s="1">
        <v>6.0</v>
      </c>
      <c r="N1" s="1">
        <v>7.0</v>
      </c>
      <c r="O1" s="2" t="s">
        <v>7</v>
      </c>
      <c r="P1" s="2" t="s">
        <v>8</v>
      </c>
      <c r="Q1" s="3" t="s">
        <v>9</v>
      </c>
      <c r="R1" s="3" t="s">
        <v>10</v>
      </c>
    </row>
    <row r="2" ht="25.5" customHeight="1">
      <c r="A2" s="4">
        <v>1.0</v>
      </c>
      <c r="B2" s="5" t="s">
        <v>11</v>
      </c>
      <c r="C2" s="6" t="s">
        <v>12</v>
      </c>
      <c r="D2" s="7" t="s">
        <v>13</v>
      </c>
      <c r="E2" s="8" t="s">
        <v>14</v>
      </c>
      <c r="F2" s="9" t="s">
        <v>15</v>
      </c>
      <c r="G2" s="10" t="s">
        <v>16</v>
      </c>
      <c r="H2" s="6" t="str">
        <f>IFERROR(__xludf.DUMMYFUNCTION("split(G2, "" "")"),"Love")</f>
        <v>Love</v>
      </c>
      <c r="I2" s="6" t="str">
        <f>IFERROR(__xludf.DUMMYFUNCTION("""COMPUTED_VALUE"""),"makes")</f>
        <v>makes</v>
      </c>
      <c r="J2" s="6" t="str">
        <f>IFERROR(__xludf.DUMMYFUNCTION("""COMPUTED_VALUE"""),"people")</f>
        <v>people</v>
      </c>
      <c r="K2" s="6" t="str">
        <f>IFERROR(__xludf.DUMMYFUNCTION("""COMPUTED_VALUE"""),"happy.")</f>
        <v>happy.</v>
      </c>
      <c r="L2" s="6"/>
      <c r="M2" s="6"/>
      <c r="N2" s="6"/>
      <c r="O2" s="6"/>
      <c r="P2" s="6"/>
      <c r="Q2" s="11">
        <v>3.0</v>
      </c>
      <c r="R2" s="12">
        <v>124.0</v>
      </c>
    </row>
    <row r="3" ht="25.5" customHeight="1">
      <c r="A3" s="13">
        <v>2.0</v>
      </c>
      <c r="B3" s="14" t="s">
        <v>11</v>
      </c>
      <c r="C3" s="15" t="s">
        <v>12</v>
      </c>
      <c r="D3" s="16" t="s">
        <v>17</v>
      </c>
      <c r="E3" s="17" t="s">
        <v>18</v>
      </c>
      <c r="F3" s="18" t="s">
        <v>19</v>
      </c>
      <c r="G3" s="19" t="s">
        <v>20</v>
      </c>
      <c r="H3" s="15" t="str">
        <f>IFERROR(__xludf.DUMMYFUNCTION("split(G3, "" "")"),"Happiness")</f>
        <v>Happiness</v>
      </c>
      <c r="I3" s="15" t="str">
        <f>IFERROR(__xludf.DUMMYFUNCTION("""COMPUTED_VALUE"""),"is")</f>
        <v>is</v>
      </c>
      <c r="J3" s="15" t="str">
        <f>IFERROR(__xludf.DUMMYFUNCTION("""COMPUTED_VALUE"""),"important")</f>
        <v>important</v>
      </c>
      <c r="K3" s="15" t="str">
        <f>IFERROR(__xludf.DUMMYFUNCTION("""COMPUTED_VALUE"""),"in")</f>
        <v>in</v>
      </c>
      <c r="L3" s="15" t="str">
        <f>IFERROR(__xludf.DUMMYFUNCTION("""COMPUTED_VALUE"""),"life.")</f>
        <v>life.</v>
      </c>
      <c r="M3" s="15"/>
      <c r="N3" s="15"/>
      <c r="O3" s="15"/>
      <c r="P3" s="15"/>
      <c r="Q3" s="20">
        <v>3.0</v>
      </c>
      <c r="R3" s="12">
        <v>135.0</v>
      </c>
    </row>
    <row r="4" ht="25.5" customHeight="1">
      <c r="A4" s="4">
        <v>3.0</v>
      </c>
      <c r="B4" s="5" t="s">
        <v>11</v>
      </c>
      <c r="C4" s="6" t="s">
        <v>12</v>
      </c>
      <c r="D4" s="7" t="s">
        <v>21</v>
      </c>
      <c r="E4" s="8" t="s">
        <v>22</v>
      </c>
      <c r="F4" s="9" t="s">
        <v>23</v>
      </c>
      <c r="G4" s="10" t="s">
        <v>24</v>
      </c>
      <c r="H4" s="6" t="str">
        <f>IFERROR(__xludf.DUMMYFUNCTION("split(G4, "" "")"),"Sadness")</f>
        <v>Sadness</v>
      </c>
      <c r="I4" s="6" t="str">
        <f>IFERROR(__xludf.DUMMYFUNCTION("""COMPUTED_VALUE"""),"can")</f>
        <v>can</v>
      </c>
      <c r="J4" s="6" t="str">
        <f>IFERROR(__xludf.DUMMYFUNCTION("""COMPUTED_VALUE"""),"pass")</f>
        <v>pass</v>
      </c>
      <c r="K4" s="6" t="str">
        <f>IFERROR(__xludf.DUMMYFUNCTION("""COMPUTED_VALUE"""),"with")</f>
        <v>with</v>
      </c>
      <c r="L4" s="6" t="str">
        <f>IFERROR(__xludf.DUMMYFUNCTION("""COMPUTED_VALUE"""),"time.")</f>
        <v>time.</v>
      </c>
      <c r="M4" s="6"/>
      <c r="N4" s="6"/>
      <c r="O4" s="6"/>
      <c r="P4" s="6"/>
      <c r="Q4" s="21">
        <v>3.0</v>
      </c>
      <c r="R4" s="12">
        <v>135.0</v>
      </c>
    </row>
    <row r="5" ht="25.5" customHeight="1">
      <c r="A5" s="13">
        <v>4.0</v>
      </c>
      <c r="B5" s="14" t="s">
        <v>11</v>
      </c>
      <c r="C5" s="15" t="s">
        <v>12</v>
      </c>
      <c r="D5" s="16" t="s">
        <v>25</v>
      </c>
      <c r="E5" s="17" t="s">
        <v>26</v>
      </c>
      <c r="F5" s="18" t="s">
        <v>27</v>
      </c>
      <c r="G5" s="19" t="s">
        <v>28</v>
      </c>
      <c r="H5" s="15" t="str">
        <f>IFERROR(__xludf.DUMMYFUNCTION("split(G5, "" "")"),"Anger")</f>
        <v>Anger</v>
      </c>
      <c r="I5" s="15" t="str">
        <f>IFERROR(__xludf.DUMMYFUNCTION("""COMPUTED_VALUE"""),"is")</f>
        <v>is</v>
      </c>
      <c r="J5" s="15" t="str">
        <f>IFERROR(__xludf.DUMMYFUNCTION("""COMPUTED_VALUE"""),"a")</f>
        <v>a</v>
      </c>
      <c r="K5" s="15" t="str">
        <f>IFERROR(__xludf.DUMMYFUNCTION("""COMPUTED_VALUE"""),"strong")</f>
        <v>strong</v>
      </c>
      <c r="L5" s="15" t="str">
        <f>IFERROR(__xludf.DUMMYFUNCTION("""COMPUTED_VALUE"""),"feeling.")</f>
        <v>feeling.</v>
      </c>
      <c r="M5" s="15"/>
      <c r="N5" s="15"/>
      <c r="O5" s="15"/>
      <c r="P5" s="15"/>
      <c r="Q5" s="20">
        <v>3.0</v>
      </c>
      <c r="R5" s="12">
        <v>145.0</v>
      </c>
    </row>
    <row r="6" ht="25.5" customHeight="1">
      <c r="A6" s="4">
        <v>5.0</v>
      </c>
      <c r="B6" s="5" t="s">
        <v>11</v>
      </c>
      <c r="C6" s="6" t="s">
        <v>12</v>
      </c>
      <c r="D6" s="7" t="s">
        <v>29</v>
      </c>
      <c r="E6" s="8" t="s">
        <v>30</v>
      </c>
      <c r="F6" s="9" t="s">
        <v>31</v>
      </c>
      <c r="G6" s="10" t="s">
        <v>32</v>
      </c>
      <c r="H6" s="6" t="str">
        <f>IFERROR(__xludf.DUMMYFUNCTION("split(G6, "" "")"),"Fear")</f>
        <v>Fear</v>
      </c>
      <c r="I6" s="6" t="str">
        <f>IFERROR(__xludf.DUMMYFUNCTION("""COMPUTED_VALUE"""),"can")</f>
        <v>can</v>
      </c>
      <c r="J6" s="6" t="str">
        <f>IFERROR(__xludf.DUMMYFUNCTION("""COMPUTED_VALUE"""),"stop")</f>
        <v>stop</v>
      </c>
      <c r="K6" s="6" t="str">
        <f>IFERROR(__xludf.DUMMYFUNCTION("""COMPUTED_VALUE"""),"people.")</f>
        <v>people.</v>
      </c>
      <c r="L6" s="6"/>
      <c r="M6" s="6"/>
      <c r="N6" s="6"/>
      <c r="O6" s="6"/>
      <c r="P6" s="6"/>
      <c r="Q6" s="21">
        <v>3.0</v>
      </c>
      <c r="R6" s="12">
        <v>134.0</v>
      </c>
    </row>
    <row r="7" ht="25.5" customHeight="1">
      <c r="A7" s="13">
        <v>6.0</v>
      </c>
      <c r="B7" s="14" t="s">
        <v>11</v>
      </c>
      <c r="C7" s="15" t="s">
        <v>12</v>
      </c>
      <c r="D7" s="16" t="s">
        <v>33</v>
      </c>
      <c r="E7" s="17" t="s">
        <v>34</v>
      </c>
      <c r="F7" s="18" t="s">
        <v>35</v>
      </c>
      <c r="G7" s="19" t="s">
        <v>36</v>
      </c>
      <c r="H7" s="15" t="str">
        <f>IFERROR(__xludf.DUMMYFUNCTION("split(G7, "" "")"),"Hope")</f>
        <v>Hope</v>
      </c>
      <c r="I7" s="15" t="str">
        <f>IFERROR(__xludf.DUMMYFUNCTION("""COMPUTED_VALUE"""),"helps")</f>
        <v>helps</v>
      </c>
      <c r="J7" s="15" t="str">
        <f>IFERROR(__xludf.DUMMYFUNCTION("""COMPUTED_VALUE"""),"me")</f>
        <v>me</v>
      </c>
      <c r="K7" s="15" t="str">
        <f>IFERROR(__xludf.DUMMYFUNCTION("""COMPUTED_VALUE"""),"try")</f>
        <v>try</v>
      </c>
      <c r="L7" s="15" t="str">
        <f>IFERROR(__xludf.DUMMYFUNCTION("""COMPUTED_VALUE"""),"again.")</f>
        <v>again.</v>
      </c>
      <c r="M7" s="15"/>
      <c r="N7" s="15"/>
      <c r="O7" s="15"/>
      <c r="P7" s="15"/>
      <c r="Q7" s="20">
        <v>4.0</v>
      </c>
      <c r="R7" s="12">
        <v>1245.0</v>
      </c>
    </row>
    <row r="8" ht="25.5" customHeight="1">
      <c r="A8" s="4">
        <v>7.0</v>
      </c>
      <c r="B8" s="5" t="s">
        <v>11</v>
      </c>
      <c r="C8" s="6" t="s">
        <v>12</v>
      </c>
      <c r="D8" s="7" t="s">
        <v>37</v>
      </c>
      <c r="E8" s="8" t="s">
        <v>38</v>
      </c>
      <c r="F8" s="9" t="s">
        <v>39</v>
      </c>
      <c r="G8" s="10" t="s">
        <v>40</v>
      </c>
      <c r="H8" s="6" t="str">
        <f>IFERROR(__xludf.DUMMYFUNCTION("split(G8, "" "")"),"Joy")</f>
        <v>Joy</v>
      </c>
      <c r="I8" s="6" t="str">
        <f>IFERROR(__xludf.DUMMYFUNCTION("""COMPUTED_VALUE"""),"shows")</f>
        <v>shows</v>
      </c>
      <c r="J8" s="6" t="str">
        <f>IFERROR(__xludf.DUMMYFUNCTION("""COMPUTED_VALUE"""),"on")</f>
        <v>on</v>
      </c>
      <c r="K8" s="6" t="str">
        <f>IFERROR(__xludf.DUMMYFUNCTION("""COMPUTED_VALUE"""),"her")</f>
        <v>her</v>
      </c>
      <c r="L8" s="6" t="str">
        <f>IFERROR(__xludf.DUMMYFUNCTION("""COMPUTED_VALUE"""),"face.")</f>
        <v>face.</v>
      </c>
      <c r="M8" s="6"/>
      <c r="N8" s="6"/>
      <c r="O8" s="6"/>
      <c r="P8" s="6"/>
      <c r="Q8" s="21">
        <v>3.0</v>
      </c>
      <c r="R8" s="12">
        <v>125.0</v>
      </c>
    </row>
    <row r="9" ht="25.5" customHeight="1">
      <c r="A9" s="13">
        <v>8.0</v>
      </c>
      <c r="B9" s="14" t="s">
        <v>11</v>
      </c>
      <c r="C9" s="15" t="s">
        <v>12</v>
      </c>
      <c r="D9" s="16" t="s">
        <v>41</v>
      </c>
      <c r="E9" s="17" t="s">
        <v>42</v>
      </c>
      <c r="F9" s="18" t="s">
        <v>43</v>
      </c>
      <c r="G9" s="19" t="s">
        <v>44</v>
      </c>
      <c r="H9" s="15" t="str">
        <f>IFERROR(__xludf.DUMMYFUNCTION("split(G9, "" "")"),"Worry")</f>
        <v>Worry</v>
      </c>
      <c r="I9" s="15" t="str">
        <f>IFERROR(__xludf.DUMMYFUNCTION("""COMPUTED_VALUE"""),"keeps")</f>
        <v>keeps</v>
      </c>
      <c r="J9" s="15" t="str">
        <f>IFERROR(__xludf.DUMMYFUNCTION("""COMPUTED_VALUE"""),"me")</f>
        <v>me</v>
      </c>
      <c r="K9" s="15" t="str">
        <f>IFERROR(__xludf.DUMMYFUNCTION("""COMPUTED_VALUE"""),"awake.")</f>
        <v>awake.</v>
      </c>
      <c r="L9" s="15"/>
      <c r="M9" s="15"/>
      <c r="N9" s="15"/>
      <c r="O9" s="15"/>
      <c r="P9" s="15"/>
      <c r="Q9" s="20">
        <v>3.0</v>
      </c>
      <c r="R9" s="12">
        <v>124.0</v>
      </c>
    </row>
    <row r="10" ht="25.5" customHeight="1">
      <c r="A10" s="4">
        <v>9.0</v>
      </c>
      <c r="B10" s="5" t="s">
        <v>11</v>
      </c>
      <c r="C10" s="6" t="s">
        <v>12</v>
      </c>
      <c r="D10" s="7" t="s">
        <v>45</v>
      </c>
      <c r="E10" s="8" t="s">
        <v>46</v>
      </c>
      <c r="F10" s="9" t="s">
        <v>47</v>
      </c>
      <c r="G10" s="10" t="s">
        <v>48</v>
      </c>
      <c r="H10" s="6" t="str">
        <f>IFERROR(__xludf.DUMMYFUNCTION("split(G10, "" "")"),"Stress")</f>
        <v>Stress</v>
      </c>
      <c r="I10" s="6" t="str">
        <f>IFERROR(__xludf.DUMMYFUNCTION("""COMPUTED_VALUE"""),"makes")</f>
        <v>makes</v>
      </c>
      <c r="J10" s="6" t="str">
        <f>IFERROR(__xludf.DUMMYFUNCTION("""COMPUTED_VALUE"""),"students")</f>
        <v>students</v>
      </c>
      <c r="K10" s="6" t="str">
        <f>IFERROR(__xludf.DUMMYFUNCTION("""COMPUTED_VALUE"""),"tired.")</f>
        <v>tired.</v>
      </c>
      <c r="L10" s="6"/>
      <c r="M10" s="6"/>
      <c r="N10" s="6"/>
      <c r="O10" s="6"/>
      <c r="P10" s="6"/>
      <c r="Q10" s="21">
        <v>4.0</v>
      </c>
      <c r="R10" s="12">
        <v>1234.0</v>
      </c>
    </row>
    <row r="11" ht="25.5" customHeight="1">
      <c r="A11" s="13">
        <v>10.0</v>
      </c>
      <c r="B11" s="14" t="s">
        <v>11</v>
      </c>
      <c r="C11" s="15" t="s">
        <v>12</v>
      </c>
      <c r="D11" s="16" t="s">
        <v>49</v>
      </c>
      <c r="E11" s="17" t="s">
        <v>50</v>
      </c>
      <c r="F11" s="18" t="s">
        <v>51</v>
      </c>
      <c r="G11" s="19" t="s">
        <v>52</v>
      </c>
      <c r="H11" s="15" t="str">
        <f>IFERROR(__xludf.DUMMYFUNCTION("split(G11, "" "")"),"The")</f>
        <v>The</v>
      </c>
      <c r="I11" s="15" t="str">
        <f>IFERROR(__xludf.DUMMYFUNCTION("""COMPUTED_VALUE"""),"gift")</f>
        <v>gift</v>
      </c>
      <c r="J11" s="15" t="str">
        <f>IFERROR(__xludf.DUMMYFUNCTION("""COMPUTED_VALUE"""),"is")</f>
        <v>is</v>
      </c>
      <c r="K11" s="15" t="str">
        <f>IFERROR(__xludf.DUMMYFUNCTION("""COMPUTED_VALUE"""),"a")</f>
        <v>a</v>
      </c>
      <c r="L11" s="15" t="str">
        <f>IFERROR(__xludf.DUMMYFUNCTION("""COMPUTED_VALUE"""),"surprise.")</f>
        <v>surprise.</v>
      </c>
      <c r="M11" s="15"/>
      <c r="N11" s="15"/>
      <c r="O11" s="15"/>
      <c r="P11" s="15"/>
      <c r="Q11" s="20">
        <v>3.0</v>
      </c>
      <c r="R11" s="12">
        <v>125.0</v>
      </c>
    </row>
    <row r="12" ht="25.5" customHeight="1">
      <c r="A12" s="4">
        <v>11.0</v>
      </c>
      <c r="B12" s="5" t="s">
        <v>11</v>
      </c>
      <c r="C12" s="6" t="s">
        <v>12</v>
      </c>
      <c r="D12" s="7" t="s">
        <v>53</v>
      </c>
      <c r="E12" s="8" t="s">
        <v>54</v>
      </c>
      <c r="F12" s="9" t="s">
        <v>55</v>
      </c>
      <c r="G12" s="10" t="s">
        <v>56</v>
      </c>
      <c r="H12" s="6" t="str">
        <f>IFERROR(__xludf.DUMMYFUNCTION("split(G12, "" "")"),"Peace")</f>
        <v>Peace</v>
      </c>
      <c r="I12" s="6" t="str">
        <f>IFERROR(__xludf.DUMMYFUNCTION("""COMPUTED_VALUE"""),"is")</f>
        <v>is</v>
      </c>
      <c r="J12" s="6" t="str">
        <f>IFERROR(__xludf.DUMMYFUNCTION("""COMPUTED_VALUE"""),"good")</f>
        <v>good</v>
      </c>
      <c r="K12" s="6" t="str">
        <f>IFERROR(__xludf.DUMMYFUNCTION("""COMPUTED_VALUE"""),"for")</f>
        <v>for</v>
      </c>
      <c r="L12" s="6" t="str">
        <f>IFERROR(__xludf.DUMMYFUNCTION("""COMPUTED_VALUE"""),"the")</f>
        <v>the</v>
      </c>
      <c r="M12" s="6" t="str">
        <f>IFERROR(__xludf.DUMMYFUNCTION("""COMPUTED_VALUE"""),"heart.")</f>
        <v>heart.</v>
      </c>
      <c r="N12" s="6"/>
      <c r="O12" s="6"/>
      <c r="P12" s="6"/>
      <c r="Q12" s="21">
        <v>3.0</v>
      </c>
      <c r="R12" s="12">
        <v>136.0</v>
      </c>
    </row>
    <row r="13" ht="25.5" customHeight="1">
      <c r="A13" s="13">
        <v>12.0</v>
      </c>
      <c r="B13" s="14" t="s">
        <v>11</v>
      </c>
      <c r="C13" s="15" t="s">
        <v>12</v>
      </c>
      <c r="D13" s="16" t="s">
        <v>57</v>
      </c>
      <c r="E13" s="17" t="s">
        <v>58</v>
      </c>
      <c r="F13" s="18" t="s">
        <v>59</v>
      </c>
      <c r="G13" s="19" t="s">
        <v>60</v>
      </c>
      <c r="H13" s="15" t="str">
        <f>IFERROR(__xludf.DUMMYFUNCTION("split(G13, "" "")"),"Pride")</f>
        <v>Pride</v>
      </c>
      <c r="I13" s="15" t="str">
        <f>IFERROR(__xludf.DUMMYFUNCTION("""COMPUTED_VALUE"""),"makes")</f>
        <v>makes</v>
      </c>
      <c r="J13" s="15" t="str">
        <f>IFERROR(__xludf.DUMMYFUNCTION("""COMPUTED_VALUE"""),"him")</f>
        <v>him</v>
      </c>
      <c r="K13" s="15" t="str">
        <f>IFERROR(__xludf.DUMMYFUNCTION("""COMPUTED_VALUE"""),"smile.")</f>
        <v>smile.</v>
      </c>
      <c r="L13" s="15"/>
      <c r="M13" s="15"/>
      <c r="N13" s="15"/>
      <c r="O13" s="15"/>
      <c r="P13" s="15"/>
      <c r="Q13" s="20">
        <v>3.0</v>
      </c>
      <c r="R13" s="12">
        <v>124.0</v>
      </c>
    </row>
    <row r="14" ht="25.5" customHeight="1">
      <c r="A14" s="4">
        <v>13.0</v>
      </c>
      <c r="B14" s="5" t="s">
        <v>11</v>
      </c>
      <c r="C14" s="6" t="s">
        <v>12</v>
      </c>
      <c r="D14" s="7" t="s">
        <v>61</v>
      </c>
      <c r="E14" s="8" t="s">
        <v>62</v>
      </c>
      <c r="F14" s="9" t="s">
        <v>63</v>
      </c>
      <c r="G14" s="10" t="s">
        <v>64</v>
      </c>
      <c r="H14" s="6" t="str">
        <f>IFERROR(__xludf.DUMMYFUNCTION("split(G14, "" "")"),"Shame")</f>
        <v>Shame</v>
      </c>
      <c r="I14" s="6" t="str">
        <f>IFERROR(__xludf.DUMMYFUNCTION("""COMPUTED_VALUE"""),"makes")</f>
        <v>makes</v>
      </c>
      <c r="J14" s="6" t="str">
        <f>IFERROR(__xludf.DUMMYFUNCTION("""COMPUTED_VALUE"""),"her")</f>
        <v>her</v>
      </c>
      <c r="K14" s="6" t="str">
        <f>IFERROR(__xludf.DUMMYFUNCTION("""COMPUTED_VALUE"""),"quiet.")</f>
        <v>quiet.</v>
      </c>
      <c r="L14" s="6"/>
      <c r="M14" s="6"/>
      <c r="N14" s="6"/>
      <c r="O14" s="6"/>
      <c r="P14" s="6"/>
      <c r="Q14" s="21">
        <v>3.0</v>
      </c>
      <c r="R14" s="12">
        <v>124.0</v>
      </c>
    </row>
    <row r="15" ht="25.5" customHeight="1">
      <c r="A15" s="13">
        <v>14.0</v>
      </c>
      <c r="B15" s="14" t="s">
        <v>11</v>
      </c>
      <c r="C15" s="15" t="s">
        <v>12</v>
      </c>
      <c r="D15" s="16" t="s">
        <v>65</v>
      </c>
      <c r="E15" s="17" t="s">
        <v>66</v>
      </c>
      <c r="F15" s="18" t="s">
        <v>67</v>
      </c>
      <c r="G15" s="22" t="s">
        <v>68</v>
      </c>
      <c r="H15" s="15" t="str">
        <f>IFERROR(__xludf.DUMMYFUNCTION("split(G15, "" "")"),"Trust")</f>
        <v>Trust</v>
      </c>
      <c r="I15" s="15" t="str">
        <f>IFERROR(__xludf.DUMMYFUNCTION("""COMPUTED_VALUE"""),"is")</f>
        <v>is</v>
      </c>
      <c r="J15" s="15" t="str">
        <f>IFERROR(__xludf.DUMMYFUNCTION("""COMPUTED_VALUE"""),"important")</f>
        <v>important</v>
      </c>
      <c r="K15" s="15" t="str">
        <f>IFERROR(__xludf.DUMMYFUNCTION("""COMPUTED_VALUE"""),"in")</f>
        <v>in</v>
      </c>
      <c r="L15" s="15" t="str">
        <f>IFERROR(__xludf.DUMMYFUNCTION("""COMPUTED_VALUE"""),"love.")</f>
        <v>love.</v>
      </c>
      <c r="M15" s="15"/>
      <c r="N15" s="15"/>
      <c r="O15" s="15"/>
      <c r="P15" s="15"/>
      <c r="Q15" s="20">
        <v>3.0</v>
      </c>
      <c r="R15" s="12">
        <v>135.0</v>
      </c>
    </row>
    <row r="16" ht="25.5" customHeight="1">
      <c r="A16" s="4">
        <v>15.0</v>
      </c>
      <c r="B16" s="5" t="s">
        <v>11</v>
      </c>
      <c r="C16" s="6" t="s">
        <v>12</v>
      </c>
      <c r="D16" s="7" t="s">
        <v>69</v>
      </c>
      <c r="E16" s="8" t="s">
        <v>70</v>
      </c>
      <c r="F16" s="9" t="s">
        <v>71</v>
      </c>
      <c r="G16" s="10" t="s">
        <v>72</v>
      </c>
      <c r="H16" s="6" t="str">
        <f>IFERROR(__xludf.DUMMYFUNCTION("split(G16, "" "")"),"Care")</f>
        <v>Care</v>
      </c>
      <c r="I16" s="6" t="str">
        <f>IFERROR(__xludf.DUMMYFUNCTION("""COMPUTED_VALUE"""),"makes")</f>
        <v>makes</v>
      </c>
      <c r="J16" s="6" t="str">
        <f>IFERROR(__xludf.DUMMYFUNCTION("""COMPUTED_VALUE"""),"friendship")</f>
        <v>friendship</v>
      </c>
      <c r="K16" s="6" t="str">
        <f>IFERROR(__xludf.DUMMYFUNCTION("""COMPUTED_VALUE"""),"strong.")</f>
        <v>strong.</v>
      </c>
      <c r="L16" s="6"/>
      <c r="M16" s="6"/>
      <c r="N16" s="6"/>
      <c r="O16" s="6"/>
      <c r="P16" s="6"/>
      <c r="Q16" s="21">
        <v>4.0</v>
      </c>
      <c r="R16" s="12">
        <v>1234.0</v>
      </c>
    </row>
    <row r="17" ht="25.5" customHeight="1">
      <c r="A17" s="13">
        <v>16.0</v>
      </c>
      <c r="B17" s="14" t="s">
        <v>11</v>
      </c>
      <c r="C17" s="15" t="s">
        <v>12</v>
      </c>
      <c r="D17" s="16" t="s">
        <v>73</v>
      </c>
      <c r="E17" s="17" t="s">
        <v>74</v>
      </c>
      <c r="F17" s="18" t="s">
        <v>75</v>
      </c>
      <c r="G17" s="19" t="s">
        <v>76</v>
      </c>
      <c r="H17" s="15" t="str">
        <f>IFERROR(__xludf.DUMMYFUNCTION("split(G17, "" "")"),"Kindness")</f>
        <v>Kindness</v>
      </c>
      <c r="I17" s="15" t="str">
        <f>IFERROR(__xludf.DUMMYFUNCTION("""COMPUTED_VALUE"""),"can")</f>
        <v>can</v>
      </c>
      <c r="J17" s="15" t="str">
        <f>IFERROR(__xludf.DUMMYFUNCTION("""COMPUTED_VALUE"""),"change")</f>
        <v>change</v>
      </c>
      <c r="K17" s="15" t="str">
        <f>IFERROR(__xludf.DUMMYFUNCTION("""COMPUTED_VALUE"""),"a")</f>
        <v>a</v>
      </c>
      <c r="L17" s="15" t="str">
        <f>IFERROR(__xludf.DUMMYFUNCTION("""COMPUTED_VALUE"""),"day.")</f>
        <v>day.</v>
      </c>
      <c r="M17" s="15"/>
      <c r="N17" s="15"/>
      <c r="O17" s="15"/>
      <c r="P17" s="15"/>
      <c r="Q17" s="20">
        <v>3.0</v>
      </c>
      <c r="R17" s="12">
        <v>135.0</v>
      </c>
    </row>
    <row r="18" ht="25.5" customHeight="1">
      <c r="A18" s="4">
        <v>17.0</v>
      </c>
      <c r="B18" s="5" t="s">
        <v>11</v>
      </c>
      <c r="C18" s="6" t="s">
        <v>12</v>
      </c>
      <c r="D18" s="7" t="s">
        <v>77</v>
      </c>
      <c r="E18" s="8" t="s">
        <v>78</v>
      </c>
      <c r="F18" s="9" t="s">
        <v>79</v>
      </c>
      <c r="G18" s="10" t="s">
        <v>80</v>
      </c>
      <c r="H18" s="6" t="str">
        <f>IFERROR(__xludf.DUMMYFUNCTION("split(G18, "" "")"),"Friendship")</f>
        <v>Friendship</v>
      </c>
      <c r="I18" s="6" t="str">
        <f>IFERROR(__xludf.DUMMYFUNCTION("""COMPUTED_VALUE"""),"is")</f>
        <v>is</v>
      </c>
      <c r="J18" s="6" t="str">
        <f>IFERROR(__xludf.DUMMYFUNCTION("""COMPUTED_VALUE"""),"a")</f>
        <v>a</v>
      </c>
      <c r="K18" s="6" t="str">
        <f>IFERROR(__xludf.DUMMYFUNCTION("""COMPUTED_VALUE"""),"special")</f>
        <v>special</v>
      </c>
      <c r="L18" s="6" t="str">
        <f>IFERROR(__xludf.DUMMYFUNCTION("""COMPUTED_VALUE"""),"gift.")</f>
        <v>gift.</v>
      </c>
      <c r="M18" s="6"/>
      <c r="N18" s="6"/>
      <c r="O18" s="6"/>
      <c r="P18" s="6"/>
      <c r="Q18" s="21">
        <v>3.0</v>
      </c>
      <c r="R18" s="12">
        <v>145.0</v>
      </c>
    </row>
    <row r="19" ht="25.5" customHeight="1">
      <c r="A19" s="13">
        <v>18.0</v>
      </c>
      <c r="B19" s="14" t="s">
        <v>11</v>
      </c>
      <c r="C19" s="15" t="s">
        <v>12</v>
      </c>
      <c r="D19" s="16" t="s">
        <v>81</v>
      </c>
      <c r="E19" s="17" t="s">
        <v>82</v>
      </c>
      <c r="F19" s="18" t="s">
        <v>83</v>
      </c>
      <c r="G19" s="19" t="s">
        <v>84</v>
      </c>
      <c r="H19" s="15" t="str">
        <f>IFERROR(__xludf.DUMMYFUNCTION("split(G19, "" "")"),"This")</f>
        <v>This</v>
      </c>
      <c r="I19" s="15" t="str">
        <f>IFERROR(__xludf.DUMMYFUNCTION("""COMPUTED_VALUE"""),"feeling")</f>
        <v>feeling</v>
      </c>
      <c r="J19" s="15" t="str">
        <f>IFERROR(__xludf.DUMMYFUNCTION("""COMPUTED_VALUE"""),"is")</f>
        <v>is</v>
      </c>
      <c r="K19" s="15" t="str">
        <f>IFERROR(__xludf.DUMMYFUNCTION("""COMPUTED_VALUE"""),"new")</f>
        <v>new</v>
      </c>
      <c r="L19" s="15" t="str">
        <f>IFERROR(__xludf.DUMMYFUNCTION("""COMPUTED_VALUE"""),"to")</f>
        <v>to</v>
      </c>
      <c r="M19" s="15" t="str">
        <f>IFERROR(__xludf.DUMMYFUNCTION("""COMPUTED_VALUE"""),"me.")</f>
        <v>me.</v>
      </c>
      <c r="N19" s="15"/>
      <c r="O19" s="15"/>
      <c r="P19" s="15"/>
      <c r="Q19" s="20">
        <v>3.0</v>
      </c>
      <c r="R19" s="12">
        <v>124.0</v>
      </c>
    </row>
    <row r="20" ht="25.5" customHeight="1">
      <c r="A20" s="4">
        <v>19.0</v>
      </c>
      <c r="B20" s="5" t="s">
        <v>11</v>
      </c>
      <c r="C20" s="6" t="s">
        <v>12</v>
      </c>
      <c r="D20" s="7" t="s">
        <v>85</v>
      </c>
      <c r="E20" s="8" t="s">
        <v>86</v>
      </c>
      <c r="F20" s="9" t="s">
        <v>87</v>
      </c>
      <c r="G20" s="10" t="s">
        <v>88</v>
      </c>
      <c r="H20" s="6" t="str">
        <f>IFERROR(__xludf.DUMMYFUNCTION("split(G20, "" "")"),"Her")</f>
        <v>Her</v>
      </c>
      <c r="I20" s="6" t="str">
        <f>IFERROR(__xludf.DUMMYFUNCTION("""COMPUTED_VALUE"""),"heart")</f>
        <v>heart</v>
      </c>
      <c r="J20" s="6" t="str">
        <f>IFERROR(__xludf.DUMMYFUNCTION("""COMPUTED_VALUE"""),"is")</f>
        <v>is</v>
      </c>
      <c r="K20" s="6" t="str">
        <f>IFERROR(__xludf.DUMMYFUNCTION("""COMPUTED_VALUE"""),"full")</f>
        <v>full</v>
      </c>
      <c r="L20" s="6" t="str">
        <f>IFERROR(__xludf.DUMMYFUNCTION("""COMPUTED_VALUE"""),"of")</f>
        <v>of</v>
      </c>
      <c r="M20" s="6" t="str">
        <f>IFERROR(__xludf.DUMMYFUNCTION("""COMPUTED_VALUE"""),"love.")</f>
        <v>love.</v>
      </c>
      <c r="N20" s="6"/>
      <c r="O20" s="6"/>
      <c r="P20" s="6"/>
      <c r="Q20" s="21">
        <v>4.0</v>
      </c>
      <c r="R20" s="12">
        <v>1246.0</v>
      </c>
    </row>
    <row r="21" ht="25.5" customHeight="1">
      <c r="A21" s="13">
        <v>20.0</v>
      </c>
      <c r="B21" s="14" t="s">
        <v>11</v>
      </c>
      <c r="C21" s="15" t="s">
        <v>12</v>
      </c>
      <c r="D21" s="16" t="s">
        <v>89</v>
      </c>
      <c r="E21" s="17" t="s">
        <v>90</v>
      </c>
      <c r="F21" s="18" t="s">
        <v>91</v>
      </c>
      <c r="G21" s="19" t="s">
        <v>92</v>
      </c>
      <c r="H21" s="15" t="str">
        <f>IFERROR(__xludf.DUMMYFUNCTION("split(G21, "" "")"),"A")</f>
        <v>A</v>
      </c>
      <c r="I21" s="15" t="str">
        <f>IFERROR(__xludf.DUMMYFUNCTION("""COMPUTED_VALUE"""),"smile")</f>
        <v>smile</v>
      </c>
      <c r="J21" s="15" t="str">
        <f>IFERROR(__xludf.DUMMYFUNCTION("""COMPUTED_VALUE"""),"can")</f>
        <v>can</v>
      </c>
      <c r="K21" s="15" t="str">
        <f>IFERROR(__xludf.DUMMYFUNCTION("""COMPUTED_VALUE"""),"show")</f>
        <v>show</v>
      </c>
      <c r="L21" s="15" t="str">
        <f>IFERROR(__xludf.DUMMYFUNCTION("""COMPUTED_VALUE"""),"happiness.")</f>
        <v>happiness.</v>
      </c>
      <c r="M21" s="15"/>
      <c r="N21" s="15"/>
      <c r="O21" s="15"/>
      <c r="P21" s="15"/>
      <c r="Q21" s="20">
        <v>4.0</v>
      </c>
      <c r="R21" s="12">
        <v>1245.0</v>
      </c>
    </row>
    <row r="22" ht="25.5" customHeight="1">
      <c r="A22" s="4">
        <v>21.0</v>
      </c>
      <c r="B22" s="5" t="s">
        <v>11</v>
      </c>
      <c r="C22" s="6" t="s">
        <v>93</v>
      </c>
      <c r="D22" s="7" t="s">
        <v>94</v>
      </c>
      <c r="E22" s="8" t="s">
        <v>95</v>
      </c>
      <c r="F22" s="9" t="s">
        <v>96</v>
      </c>
      <c r="G22" s="10" t="s">
        <v>97</v>
      </c>
      <c r="H22" s="6" t="str">
        <f>IFERROR(__xludf.DUMMYFUNCTION("split(G22, "" "")"),"My")</f>
        <v>My</v>
      </c>
      <c r="I22" s="6" t="str">
        <f>IFERROR(__xludf.DUMMYFUNCTION("""COMPUTED_VALUE"""),"mother")</f>
        <v>mother</v>
      </c>
      <c r="J22" s="6" t="str">
        <f>IFERROR(__xludf.DUMMYFUNCTION("""COMPUTED_VALUE"""),"loves")</f>
        <v>loves</v>
      </c>
      <c r="K22" s="6" t="str">
        <f>IFERROR(__xludf.DUMMYFUNCTION("""COMPUTED_VALUE"""),"me.")</f>
        <v>me.</v>
      </c>
      <c r="L22" s="6"/>
      <c r="M22" s="6"/>
      <c r="N22" s="6"/>
      <c r="O22" s="6"/>
      <c r="P22" s="6"/>
      <c r="Q22" s="21">
        <v>4.0</v>
      </c>
      <c r="R22" s="12">
        <v>1234.0</v>
      </c>
    </row>
    <row r="23" ht="25.5" customHeight="1">
      <c r="A23" s="13">
        <v>22.0</v>
      </c>
      <c r="B23" s="14" t="s">
        <v>11</v>
      </c>
      <c r="C23" s="15" t="s">
        <v>93</v>
      </c>
      <c r="D23" s="16" t="s">
        <v>98</v>
      </c>
      <c r="E23" s="17" t="s">
        <v>99</v>
      </c>
      <c r="F23" s="18" t="s">
        <v>100</v>
      </c>
      <c r="G23" s="19" t="s">
        <v>101</v>
      </c>
      <c r="H23" s="15" t="str">
        <f>IFERROR(__xludf.DUMMYFUNCTION("split(G23, "" "")"),"The")</f>
        <v>The</v>
      </c>
      <c r="I23" s="15" t="str">
        <f>IFERROR(__xludf.DUMMYFUNCTION("""COMPUTED_VALUE"""),"child")</f>
        <v>child</v>
      </c>
      <c r="J23" s="15" t="str">
        <f>IFERROR(__xludf.DUMMYFUNCTION("""COMPUTED_VALUE"""),"feels")</f>
        <v>feels</v>
      </c>
      <c r="K23" s="15" t="str">
        <f>IFERROR(__xludf.DUMMYFUNCTION("""COMPUTED_VALUE"""),"safe")</f>
        <v>safe</v>
      </c>
      <c r="L23" s="15" t="str">
        <f>IFERROR(__xludf.DUMMYFUNCTION("""COMPUTED_VALUE"""),"at")</f>
        <v>at</v>
      </c>
      <c r="M23" s="15" t="str">
        <f>IFERROR(__xludf.DUMMYFUNCTION("""COMPUTED_VALUE"""),"home.")</f>
        <v>home.</v>
      </c>
      <c r="N23" s="15"/>
      <c r="O23" s="15"/>
      <c r="P23" s="15"/>
      <c r="Q23" s="20">
        <v>5.0</v>
      </c>
      <c r="R23" s="12">
        <v>12346.0</v>
      </c>
    </row>
    <row r="24" ht="25.5" customHeight="1">
      <c r="A24" s="4">
        <v>23.0</v>
      </c>
      <c r="B24" s="5" t="s">
        <v>11</v>
      </c>
      <c r="C24" s="6" t="s">
        <v>93</v>
      </c>
      <c r="D24" s="7" t="s">
        <v>102</v>
      </c>
      <c r="E24" s="8" t="s">
        <v>103</v>
      </c>
      <c r="F24" s="9" t="s">
        <v>104</v>
      </c>
      <c r="G24" s="10" t="s">
        <v>105</v>
      </c>
      <c r="H24" s="6" t="str">
        <f>IFERROR(__xludf.DUMMYFUNCTION("split(G24, "" "")"),"My")</f>
        <v>My</v>
      </c>
      <c r="I24" s="6" t="str">
        <f>IFERROR(__xludf.DUMMYFUNCTION("""COMPUTED_VALUE"""),"brother")</f>
        <v>brother</v>
      </c>
      <c r="J24" s="6" t="str">
        <f>IFERROR(__xludf.DUMMYFUNCTION("""COMPUTED_VALUE"""),"is")</f>
        <v>is</v>
      </c>
      <c r="K24" s="6" t="str">
        <f>IFERROR(__xludf.DUMMYFUNCTION("""COMPUTED_VALUE"""),"my")</f>
        <v>my</v>
      </c>
      <c r="L24" s="6" t="str">
        <f>IFERROR(__xludf.DUMMYFUNCTION("""COMPUTED_VALUE"""),"friend.")</f>
        <v>friend.</v>
      </c>
      <c r="M24" s="6"/>
      <c r="N24" s="6"/>
      <c r="O24" s="6"/>
      <c r="P24" s="6"/>
      <c r="Q24" s="21">
        <v>3.0</v>
      </c>
      <c r="R24" s="12">
        <v>125.0</v>
      </c>
    </row>
    <row r="25" ht="25.5" customHeight="1">
      <c r="A25" s="13">
        <v>24.0</v>
      </c>
      <c r="B25" s="14" t="s">
        <v>11</v>
      </c>
      <c r="C25" s="15" t="s">
        <v>93</v>
      </c>
      <c r="D25" s="16" t="s">
        <v>106</v>
      </c>
      <c r="E25" s="17" t="s">
        <v>107</v>
      </c>
      <c r="F25" s="18" t="s">
        <v>108</v>
      </c>
      <c r="G25" s="19" t="s">
        <v>109</v>
      </c>
      <c r="H25" s="15" t="str">
        <f>IFERROR(__xludf.DUMMYFUNCTION("split(G25, "" "")"),"My")</f>
        <v>My</v>
      </c>
      <c r="I25" s="15" t="str">
        <f>IFERROR(__xludf.DUMMYFUNCTION("""COMPUTED_VALUE"""),"sister")</f>
        <v>sister</v>
      </c>
      <c r="J25" s="15" t="str">
        <f>IFERROR(__xludf.DUMMYFUNCTION("""COMPUTED_VALUE"""),"smiles")</f>
        <v>smiles</v>
      </c>
      <c r="K25" s="15" t="str">
        <f>IFERROR(__xludf.DUMMYFUNCTION("""COMPUTED_VALUE"""),"at")</f>
        <v>at</v>
      </c>
      <c r="L25" s="15" t="str">
        <f>IFERROR(__xludf.DUMMYFUNCTION("""COMPUTED_VALUE"""),"me.")</f>
        <v>me.</v>
      </c>
      <c r="M25" s="15"/>
      <c r="N25" s="15"/>
      <c r="O25" s="15"/>
      <c r="P25" s="15"/>
      <c r="Q25" s="20">
        <v>3.0</v>
      </c>
      <c r="R25" s="12">
        <v>123.0</v>
      </c>
    </row>
    <row r="26" ht="25.5" customHeight="1">
      <c r="A26" s="4">
        <v>25.0</v>
      </c>
      <c r="B26" s="5" t="s">
        <v>11</v>
      </c>
      <c r="C26" s="6" t="s">
        <v>93</v>
      </c>
      <c r="D26" s="7" t="s">
        <v>110</v>
      </c>
      <c r="E26" s="8" t="s">
        <v>111</v>
      </c>
      <c r="F26" s="9" t="s">
        <v>112</v>
      </c>
      <c r="G26" s="22" t="s">
        <v>113</v>
      </c>
      <c r="H26" s="6" t="str">
        <f>IFERROR(__xludf.DUMMYFUNCTION("split(G26, "" "")"),"My")</f>
        <v>My</v>
      </c>
      <c r="I26" s="6" t="str">
        <f>IFERROR(__xludf.DUMMYFUNCTION("""COMPUTED_VALUE"""),"grandmother")</f>
        <v>grandmother</v>
      </c>
      <c r="J26" s="6" t="str">
        <f>IFERROR(__xludf.DUMMYFUNCTION("""COMPUTED_VALUE"""),"tells")</f>
        <v>tells</v>
      </c>
      <c r="K26" s="6" t="str">
        <f>IFERROR(__xludf.DUMMYFUNCTION("""COMPUTED_VALUE"""),"warm")</f>
        <v>warm</v>
      </c>
      <c r="L26" s="6" t="str">
        <f>IFERROR(__xludf.DUMMYFUNCTION("""COMPUTED_VALUE"""),"stories.")</f>
        <v>stories.</v>
      </c>
      <c r="M26" s="6"/>
      <c r="N26" s="6"/>
      <c r="O26" s="6"/>
      <c r="P26" s="6"/>
      <c r="Q26" s="21">
        <v>5.0</v>
      </c>
      <c r="R26" s="12">
        <v>12345.0</v>
      </c>
    </row>
    <row r="27" ht="25.5" customHeight="1">
      <c r="A27" s="13">
        <v>26.0</v>
      </c>
      <c r="B27" s="14" t="s">
        <v>11</v>
      </c>
      <c r="C27" s="15" t="s">
        <v>93</v>
      </c>
      <c r="D27" s="16" t="s">
        <v>114</v>
      </c>
      <c r="E27" s="17" t="s">
        <v>115</v>
      </c>
      <c r="F27" s="18" t="s">
        <v>116</v>
      </c>
      <c r="G27" s="19" t="s">
        <v>117</v>
      </c>
      <c r="H27" s="15" t="str">
        <f>IFERROR(__xludf.DUMMYFUNCTION("split(G27, "" "")"),"My")</f>
        <v>My</v>
      </c>
      <c r="I27" s="15" t="str">
        <f>IFERROR(__xludf.DUMMYFUNCTION("""COMPUTED_VALUE"""),"grandfather")</f>
        <v>grandfather</v>
      </c>
      <c r="J27" s="15" t="str">
        <f>IFERROR(__xludf.DUMMYFUNCTION("""COMPUTED_VALUE"""),"loves")</f>
        <v>loves</v>
      </c>
      <c r="K27" s="15" t="str">
        <f>IFERROR(__xludf.DUMMYFUNCTION("""COMPUTED_VALUE"""),"our")</f>
        <v>our</v>
      </c>
      <c r="L27" s="15" t="str">
        <f>IFERROR(__xludf.DUMMYFUNCTION("""COMPUTED_VALUE"""),"family.")</f>
        <v>family.</v>
      </c>
      <c r="M27" s="15"/>
      <c r="N27" s="15"/>
      <c r="O27" s="15"/>
      <c r="P27" s="15"/>
      <c r="Q27" s="20">
        <v>4.0</v>
      </c>
      <c r="R27" s="12">
        <v>1235.0</v>
      </c>
    </row>
    <row r="28" ht="25.5" customHeight="1">
      <c r="A28" s="4">
        <v>27.0</v>
      </c>
      <c r="B28" s="5" t="s">
        <v>11</v>
      </c>
      <c r="C28" s="6" t="s">
        <v>93</v>
      </c>
      <c r="D28" s="7" t="s">
        <v>118</v>
      </c>
      <c r="E28" s="8" t="s">
        <v>119</v>
      </c>
      <c r="F28" s="9" t="s">
        <v>120</v>
      </c>
      <c r="G28" s="10" t="s">
        <v>121</v>
      </c>
      <c r="H28" s="6" t="str">
        <f>IFERROR(__xludf.DUMMYFUNCTION("split(G28, "" "")"),"Her")</f>
        <v>Her</v>
      </c>
      <c r="I28" s="6" t="str">
        <f>IFERROR(__xludf.DUMMYFUNCTION("""COMPUTED_VALUE"""),"husband")</f>
        <v>husband</v>
      </c>
      <c r="J28" s="6" t="str">
        <f>IFERROR(__xludf.DUMMYFUNCTION("""COMPUTED_VALUE"""),"is")</f>
        <v>is</v>
      </c>
      <c r="K28" s="6" t="str">
        <f>IFERROR(__xludf.DUMMYFUNCTION("""COMPUTED_VALUE"""),"very")</f>
        <v>very</v>
      </c>
      <c r="L28" s="6" t="str">
        <f>IFERROR(__xludf.DUMMYFUNCTION("""COMPUTED_VALUE"""),"kind.")</f>
        <v>kind.</v>
      </c>
      <c r="M28" s="6"/>
      <c r="N28" s="6"/>
      <c r="O28" s="6"/>
      <c r="P28" s="6"/>
      <c r="Q28" s="21">
        <v>3.0</v>
      </c>
      <c r="R28" s="12">
        <v>125.0</v>
      </c>
    </row>
    <row r="29" ht="25.5" customHeight="1">
      <c r="A29" s="13">
        <v>28.0</v>
      </c>
      <c r="B29" s="14" t="s">
        <v>11</v>
      </c>
      <c r="C29" s="15" t="s">
        <v>93</v>
      </c>
      <c r="D29" s="16" t="s">
        <v>122</v>
      </c>
      <c r="E29" s="17" t="s">
        <v>123</v>
      </c>
      <c r="F29" s="18" t="s">
        <v>124</v>
      </c>
      <c r="G29" s="22" t="s">
        <v>125</v>
      </c>
      <c r="H29" s="15" t="str">
        <f>IFERROR(__xludf.DUMMYFUNCTION("split(G29, "" "")"),"His")</f>
        <v>His</v>
      </c>
      <c r="I29" s="15" t="str">
        <f>IFERROR(__xludf.DUMMYFUNCTION("""COMPUTED_VALUE"""),"wife")</f>
        <v>wife</v>
      </c>
      <c r="J29" s="15" t="str">
        <f>IFERROR(__xludf.DUMMYFUNCTION("""COMPUTED_VALUE"""),"makes")</f>
        <v>makes</v>
      </c>
      <c r="K29" s="15" t="str">
        <f>IFERROR(__xludf.DUMMYFUNCTION("""COMPUTED_VALUE"""),"him")</f>
        <v>him</v>
      </c>
      <c r="L29" s="15" t="str">
        <f>IFERROR(__xludf.DUMMYFUNCTION("""COMPUTED_VALUE"""),"happy.")</f>
        <v>happy.</v>
      </c>
      <c r="M29" s="15"/>
      <c r="N29" s="15"/>
      <c r="O29" s="15"/>
      <c r="P29" s="15"/>
      <c r="Q29" s="20">
        <v>4.0</v>
      </c>
      <c r="R29" s="12">
        <v>1235.0</v>
      </c>
    </row>
    <row r="30" ht="25.5" customHeight="1">
      <c r="A30" s="4">
        <v>29.0</v>
      </c>
      <c r="B30" s="5" t="s">
        <v>11</v>
      </c>
      <c r="C30" s="6" t="s">
        <v>93</v>
      </c>
      <c r="D30" s="7" t="s">
        <v>126</v>
      </c>
      <c r="E30" s="8" t="s">
        <v>127</v>
      </c>
      <c r="F30" s="9" t="s">
        <v>128</v>
      </c>
      <c r="G30" s="10" t="s">
        <v>129</v>
      </c>
      <c r="H30" s="6" t="str">
        <f>IFERROR(__xludf.DUMMYFUNCTION("split(G30, "" "")"),"My")</f>
        <v>My</v>
      </c>
      <c r="I30" s="6" t="str">
        <f>IFERROR(__xludf.DUMMYFUNCTION("""COMPUTED_VALUE"""),"partner")</f>
        <v>partner</v>
      </c>
      <c r="J30" s="6" t="str">
        <f>IFERROR(__xludf.DUMMYFUNCTION("""COMPUTED_VALUE"""),"supports")</f>
        <v>supports</v>
      </c>
      <c r="K30" s="6" t="str">
        <f>IFERROR(__xludf.DUMMYFUNCTION("""COMPUTED_VALUE"""),"me.")</f>
        <v>me.</v>
      </c>
      <c r="L30" s="6"/>
      <c r="M30" s="6"/>
      <c r="N30" s="6"/>
      <c r="O30" s="6"/>
      <c r="P30" s="6"/>
      <c r="Q30" s="21">
        <v>3.0</v>
      </c>
      <c r="R30" s="12">
        <v>123.0</v>
      </c>
    </row>
    <row r="31" ht="25.5" customHeight="1">
      <c r="A31" s="13">
        <v>30.0</v>
      </c>
      <c r="B31" s="14" t="s">
        <v>11</v>
      </c>
      <c r="C31" s="15" t="s">
        <v>93</v>
      </c>
      <c r="D31" s="16" t="s">
        <v>130</v>
      </c>
      <c r="E31" s="17" t="s">
        <v>131</v>
      </c>
      <c r="F31" s="18" t="s">
        <v>132</v>
      </c>
      <c r="G31" s="19" t="s">
        <v>133</v>
      </c>
      <c r="H31" s="15" t="str">
        <f>IFERROR(__xludf.DUMMYFUNCTION("split(G31, "" "")"),"The")</f>
        <v>The</v>
      </c>
      <c r="I31" s="15" t="str">
        <f>IFERROR(__xludf.DUMMYFUNCTION("""COMPUTED_VALUE"""),"couple")</f>
        <v>couple</v>
      </c>
      <c r="J31" s="15" t="str">
        <f>IFERROR(__xludf.DUMMYFUNCTION("""COMPUTED_VALUE"""),"looks")</f>
        <v>looks</v>
      </c>
      <c r="K31" s="15" t="str">
        <f>IFERROR(__xludf.DUMMYFUNCTION("""COMPUTED_VALUE"""),"happy.")</f>
        <v>happy.</v>
      </c>
      <c r="L31" s="15"/>
      <c r="M31" s="15"/>
      <c r="N31" s="15"/>
      <c r="O31" s="15"/>
      <c r="P31" s="15"/>
      <c r="Q31" s="20">
        <v>4.0</v>
      </c>
      <c r="R31" s="12">
        <v>1234.0</v>
      </c>
    </row>
    <row r="32" ht="25.5" customHeight="1">
      <c r="A32" s="4">
        <v>31.0</v>
      </c>
      <c r="B32" s="5" t="s">
        <v>11</v>
      </c>
      <c r="C32" s="6" t="s">
        <v>93</v>
      </c>
      <c r="D32" s="7" t="s">
        <v>134</v>
      </c>
      <c r="E32" s="8" t="s">
        <v>135</v>
      </c>
      <c r="F32" s="9" t="s">
        <v>136</v>
      </c>
      <c r="G32" s="10" t="s">
        <v>137</v>
      </c>
      <c r="H32" s="6" t="str">
        <f>IFERROR(__xludf.DUMMYFUNCTION("split(G32, "" "")"),"Her")</f>
        <v>Her</v>
      </c>
      <c r="I32" s="6" t="str">
        <f>IFERROR(__xludf.DUMMYFUNCTION("""COMPUTED_VALUE"""),"boyfriend")</f>
        <v>boyfriend</v>
      </c>
      <c r="J32" s="6" t="str">
        <f>IFERROR(__xludf.DUMMYFUNCTION("""COMPUTED_VALUE"""),"sends")</f>
        <v>sends</v>
      </c>
      <c r="K32" s="6" t="str">
        <f>IFERROR(__xludf.DUMMYFUNCTION("""COMPUTED_VALUE"""),"a")</f>
        <v>a</v>
      </c>
      <c r="L32" s="6" t="str">
        <f>IFERROR(__xludf.DUMMYFUNCTION("""COMPUTED_VALUE"""),"message.")</f>
        <v>message.</v>
      </c>
      <c r="M32" s="6"/>
      <c r="N32" s="6"/>
      <c r="O32" s="6"/>
      <c r="P32" s="6"/>
      <c r="Q32" s="21">
        <v>4.0</v>
      </c>
      <c r="R32" s="12">
        <v>1235.0</v>
      </c>
    </row>
    <row r="33" ht="25.5" customHeight="1">
      <c r="A33" s="13">
        <v>32.0</v>
      </c>
      <c r="B33" s="14" t="s">
        <v>11</v>
      </c>
      <c r="C33" s="15" t="s">
        <v>93</v>
      </c>
      <c r="D33" s="16" t="s">
        <v>138</v>
      </c>
      <c r="E33" s="17" t="s">
        <v>139</v>
      </c>
      <c r="F33" s="18" t="s">
        <v>140</v>
      </c>
      <c r="G33" s="19" t="s">
        <v>141</v>
      </c>
      <c r="H33" s="15" t="str">
        <f>IFERROR(__xludf.DUMMYFUNCTION("split(G33, "" "")"),"His")</f>
        <v>His</v>
      </c>
      <c r="I33" s="15" t="str">
        <f>IFERROR(__xludf.DUMMYFUNCTION("""COMPUTED_VALUE"""),"girlfriend")</f>
        <v>girlfriend</v>
      </c>
      <c r="J33" s="15" t="str">
        <f>IFERROR(__xludf.DUMMYFUNCTION("""COMPUTED_VALUE"""),"likes")</f>
        <v>likes</v>
      </c>
      <c r="K33" s="15" t="str">
        <f>IFERROR(__xludf.DUMMYFUNCTION("""COMPUTED_VALUE"""),"flowers.")</f>
        <v>flowers.</v>
      </c>
      <c r="L33" s="15"/>
      <c r="M33" s="15"/>
      <c r="N33" s="15"/>
      <c r="O33" s="15"/>
      <c r="P33" s="15"/>
      <c r="Q33" s="20">
        <v>4.0</v>
      </c>
      <c r="R33" s="12">
        <v>1234.0</v>
      </c>
    </row>
    <row r="34" ht="25.5" customHeight="1">
      <c r="A34" s="4">
        <v>33.0</v>
      </c>
      <c r="B34" s="5" t="s">
        <v>11</v>
      </c>
      <c r="C34" s="6" t="s">
        <v>93</v>
      </c>
      <c r="D34" s="7" t="s">
        <v>142</v>
      </c>
      <c r="E34" s="8" t="s">
        <v>143</v>
      </c>
      <c r="F34" s="9" t="s">
        <v>144</v>
      </c>
      <c r="G34" s="10" t="s">
        <v>145</v>
      </c>
      <c r="H34" s="6" t="str">
        <f>IFERROR(__xludf.DUMMYFUNCTION("split(G34, "" "")"),"A")</f>
        <v>A</v>
      </c>
      <c r="I34" s="6" t="str">
        <f>IFERROR(__xludf.DUMMYFUNCTION("""COMPUTED_VALUE"""),"good")</f>
        <v>good</v>
      </c>
      <c r="J34" s="6" t="str">
        <f>IFERROR(__xludf.DUMMYFUNCTION("""COMPUTED_VALUE"""),"friend")</f>
        <v>friend</v>
      </c>
      <c r="K34" s="6" t="str">
        <f>IFERROR(__xludf.DUMMYFUNCTION("""COMPUTED_VALUE"""),"listens")</f>
        <v>listens</v>
      </c>
      <c r="L34" s="6" t="str">
        <f>IFERROR(__xludf.DUMMYFUNCTION("""COMPUTED_VALUE"""),"to")</f>
        <v>to</v>
      </c>
      <c r="M34" s="6" t="str">
        <f>IFERROR(__xludf.DUMMYFUNCTION("""COMPUTED_VALUE"""),"you.")</f>
        <v>you.</v>
      </c>
      <c r="N34" s="6"/>
      <c r="O34" s="6"/>
      <c r="P34" s="6"/>
      <c r="Q34" s="21">
        <v>4.0</v>
      </c>
      <c r="R34" s="12">
        <v>1234.0</v>
      </c>
    </row>
    <row r="35" ht="25.5" customHeight="1">
      <c r="A35" s="13">
        <v>34.0</v>
      </c>
      <c r="B35" s="14" t="s">
        <v>11</v>
      </c>
      <c r="C35" s="15" t="s">
        <v>93</v>
      </c>
      <c r="D35" s="16" t="s">
        <v>146</v>
      </c>
      <c r="E35" s="17" t="s">
        <v>147</v>
      </c>
      <c r="F35" s="18" t="s">
        <v>148</v>
      </c>
      <c r="G35" s="19" t="s">
        <v>149</v>
      </c>
      <c r="H35" s="15" t="str">
        <f>IFERROR(__xludf.DUMMYFUNCTION("split(G35, "" "")"),"My")</f>
        <v>My</v>
      </c>
      <c r="I35" s="15" t="str">
        <f>IFERROR(__xludf.DUMMYFUNCTION("""COMPUTED_VALUE"""),"best")</f>
        <v>best</v>
      </c>
      <c r="J35" s="15" t="str">
        <f>IFERROR(__xludf.DUMMYFUNCTION("""COMPUTED_VALUE"""),"friend")</f>
        <v>friend</v>
      </c>
      <c r="K35" s="15" t="str">
        <f>IFERROR(__xludf.DUMMYFUNCTION("""COMPUTED_VALUE"""),"knows")</f>
        <v>knows</v>
      </c>
      <c r="L35" s="15" t="str">
        <f>IFERROR(__xludf.DUMMYFUNCTION("""COMPUTED_VALUE"""),"me")</f>
        <v>me</v>
      </c>
      <c r="M35" s="15" t="str">
        <f>IFERROR(__xludf.DUMMYFUNCTION("""COMPUTED_VALUE"""),"well.")</f>
        <v>well.</v>
      </c>
      <c r="N35" s="15"/>
      <c r="O35" s="15"/>
      <c r="P35" s="15"/>
      <c r="Q35" s="20">
        <v>5.0</v>
      </c>
      <c r="R35" s="12">
        <v>12346.0</v>
      </c>
    </row>
    <row r="36" ht="25.5" customHeight="1">
      <c r="A36" s="4">
        <v>35.0</v>
      </c>
      <c r="B36" s="5" t="s">
        <v>11</v>
      </c>
      <c r="C36" s="6" t="s">
        <v>93</v>
      </c>
      <c r="D36" s="7" t="s">
        <v>150</v>
      </c>
      <c r="E36" s="8" t="s">
        <v>151</v>
      </c>
      <c r="F36" s="9" t="s">
        <v>93</v>
      </c>
      <c r="G36" s="10" t="s">
        <v>152</v>
      </c>
      <c r="H36" s="6" t="str">
        <f>IFERROR(__xludf.DUMMYFUNCTION("split(G36, "" "")"),"Family")</f>
        <v>Family</v>
      </c>
      <c r="I36" s="6" t="str">
        <f>IFERROR(__xludf.DUMMYFUNCTION("""COMPUTED_VALUE"""),"gives")</f>
        <v>gives</v>
      </c>
      <c r="J36" s="6" t="str">
        <f>IFERROR(__xludf.DUMMYFUNCTION("""COMPUTED_VALUE"""),"me")</f>
        <v>me</v>
      </c>
      <c r="K36" s="6" t="str">
        <f>IFERROR(__xludf.DUMMYFUNCTION("""COMPUTED_VALUE"""),"love.")</f>
        <v>love.</v>
      </c>
      <c r="L36" s="6"/>
      <c r="M36" s="6"/>
      <c r="N36" s="6"/>
      <c r="O36" s="6"/>
      <c r="P36" s="6"/>
      <c r="Q36" s="21">
        <v>3.0</v>
      </c>
      <c r="R36" s="12">
        <v>124.0</v>
      </c>
    </row>
    <row r="37" ht="25.5" customHeight="1">
      <c r="A37" s="13">
        <v>36.0</v>
      </c>
      <c r="B37" s="14" t="s">
        <v>11</v>
      </c>
      <c r="C37" s="15" t="s">
        <v>93</v>
      </c>
      <c r="D37" s="16" t="s">
        <v>153</v>
      </c>
      <c r="E37" s="17" t="s">
        <v>154</v>
      </c>
      <c r="F37" s="18" t="s">
        <v>155</v>
      </c>
      <c r="G37" s="19" t="s">
        <v>156</v>
      </c>
      <c r="H37" s="15" t="str">
        <f>IFERROR(__xludf.DUMMYFUNCTION("split(G37, "" "")"),"Marriage")</f>
        <v>Marriage</v>
      </c>
      <c r="I37" s="15" t="str">
        <f>IFERROR(__xludf.DUMMYFUNCTION("""COMPUTED_VALUE"""),"needs")</f>
        <v>needs</v>
      </c>
      <c r="J37" s="15" t="str">
        <f>IFERROR(__xludf.DUMMYFUNCTION("""COMPUTED_VALUE"""),"trust")</f>
        <v>trust</v>
      </c>
      <c r="K37" s="15" t="str">
        <f>IFERROR(__xludf.DUMMYFUNCTION("""COMPUTED_VALUE"""),"and")</f>
        <v>and</v>
      </c>
      <c r="L37" s="15" t="str">
        <f>IFERROR(__xludf.DUMMYFUNCTION("""COMPUTED_VALUE"""),"care.")</f>
        <v>care.</v>
      </c>
      <c r="M37" s="15"/>
      <c r="N37" s="15"/>
      <c r="O37" s="15"/>
      <c r="P37" s="15"/>
      <c r="Q37" s="20">
        <v>4.0</v>
      </c>
      <c r="R37" s="12">
        <v>1235.0</v>
      </c>
    </row>
    <row r="38" ht="25.5" customHeight="1">
      <c r="A38" s="4">
        <v>37.0</v>
      </c>
      <c r="B38" s="5" t="s">
        <v>11</v>
      </c>
      <c r="C38" s="6" t="s">
        <v>93</v>
      </c>
      <c r="D38" s="7" t="s">
        <v>157</v>
      </c>
      <c r="E38" s="8" t="s">
        <v>158</v>
      </c>
      <c r="F38" s="9" t="s">
        <v>159</v>
      </c>
      <c r="G38" s="10" t="s">
        <v>160</v>
      </c>
      <c r="H38" s="6" t="str">
        <f>IFERROR(__xludf.DUMMYFUNCTION("split(G38, "" "")"),"A")</f>
        <v>A</v>
      </c>
      <c r="I38" s="6" t="str">
        <f>IFERROR(__xludf.DUMMYFUNCTION("""COMPUTED_VALUE"""),"hug")</f>
        <v>hug</v>
      </c>
      <c r="J38" s="6" t="str">
        <f>IFERROR(__xludf.DUMMYFUNCTION("""COMPUTED_VALUE"""),"can")</f>
        <v>can</v>
      </c>
      <c r="K38" s="6" t="str">
        <f>IFERROR(__xludf.DUMMYFUNCTION("""COMPUTED_VALUE"""),"make")</f>
        <v>make</v>
      </c>
      <c r="L38" s="6" t="str">
        <f>IFERROR(__xludf.DUMMYFUNCTION("""COMPUTED_VALUE"""),"me")</f>
        <v>me</v>
      </c>
      <c r="M38" s="6" t="str">
        <f>IFERROR(__xludf.DUMMYFUNCTION("""COMPUTED_VALUE"""),"calm.")</f>
        <v>calm.</v>
      </c>
      <c r="N38" s="6"/>
      <c r="O38" s="6"/>
      <c r="P38" s="6"/>
      <c r="Q38" s="21">
        <v>4.0</v>
      </c>
      <c r="R38" s="12">
        <v>1246.0</v>
      </c>
    </row>
    <row r="39" ht="25.5" customHeight="1">
      <c r="A39" s="13">
        <v>38.0</v>
      </c>
      <c r="B39" s="14" t="s">
        <v>11</v>
      </c>
      <c r="C39" s="15" t="s">
        <v>93</v>
      </c>
      <c r="D39" s="16" t="s">
        <v>161</v>
      </c>
      <c r="E39" s="17" t="s">
        <v>162</v>
      </c>
      <c r="F39" s="18" t="s">
        <v>163</v>
      </c>
      <c r="G39" s="22" t="s">
        <v>164</v>
      </c>
      <c r="H39" s="15" t="str">
        <f>IFERROR(__xludf.DUMMYFUNCTION("split(G39, "" "")"),"The")</f>
        <v>The</v>
      </c>
      <c r="I39" s="15" t="str">
        <f>IFERROR(__xludf.DUMMYFUNCTION("""COMPUTED_VALUE"""),"mother")</f>
        <v>mother</v>
      </c>
      <c r="J39" s="15" t="str">
        <f>IFERROR(__xludf.DUMMYFUNCTION("""COMPUTED_VALUE"""),"gives")</f>
        <v>gives</v>
      </c>
      <c r="K39" s="15" t="str">
        <f>IFERROR(__xludf.DUMMYFUNCTION("""COMPUTED_VALUE"""),"a")</f>
        <v>a</v>
      </c>
      <c r="L39" s="15" t="str">
        <f>IFERROR(__xludf.DUMMYFUNCTION("""COMPUTED_VALUE"""),"kiss.")</f>
        <v>kiss.</v>
      </c>
      <c r="M39" s="15"/>
      <c r="N39" s="15"/>
      <c r="O39" s="15"/>
      <c r="P39" s="15"/>
      <c r="Q39" s="20">
        <v>4.0</v>
      </c>
      <c r="R39" s="12">
        <v>1235.0</v>
      </c>
    </row>
    <row r="40" ht="25.5" customHeight="1">
      <c r="A40" s="4">
        <v>39.0</v>
      </c>
      <c r="B40" s="5" t="s">
        <v>11</v>
      </c>
      <c r="C40" s="6" t="s">
        <v>165</v>
      </c>
      <c r="D40" s="7" t="s">
        <v>166</v>
      </c>
      <c r="E40" s="8" t="s">
        <v>167</v>
      </c>
      <c r="F40" s="9" t="s">
        <v>168</v>
      </c>
      <c r="G40" s="10" t="s">
        <v>169</v>
      </c>
      <c r="H40" s="6" t="str">
        <f>IFERROR(__xludf.DUMMYFUNCTION("split(G40, "" "")"),"A")</f>
        <v>A</v>
      </c>
      <c r="I40" s="6" t="str">
        <f>IFERROR(__xludf.DUMMYFUNCTION("""COMPUTED_VALUE"""),"good")</f>
        <v>good</v>
      </c>
      <c r="J40" s="6" t="str">
        <f>IFERROR(__xludf.DUMMYFUNCTION("""COMPUTED_VALUE"""),"relationship")</f>
        <v>relationship</v>
      </c>
      <c r="K40" s="6" t="str">
        <f>IFERROR(__xludf.DUMMYFUNCTION("""COMPUTED_VALUE"""),"needs")</f>
        <v>needs</v>
      </c>
      <c r="L40" s="6" t="str">
        <f>IFERROR(__xludf.DUMMYFUNCTION("""COMPUTED_VALUE"""),"respect.")</f>
        <v>respect.</v>
      </c>
      <c r="M40" s="6"/>
      <c r="N40" s="6"/>
      <c r="O40" s="6"/>
      <c r="P40" s="6"/>
      <c r="Q40" s="21">
        <v>5.0</v>
      </c>
      <c r="R40" s="12">
        <v>12345.0</v>
      </c>
    </row>
    <row r="41" ht="25.5" customHeight="1">
      <c r="A41" s="13">
        <v>40.0</v>
      </c>
      <c r="B41" s="14" t="s">
        <v>11</v>
      </c>
      <c r="C41" s="15" t="s">
        <v>165</v>
      </c>
      <c r="D41" s="16" t="s">
        <v>170</v>
      </c>
      <c r="E41" s="17" t="s">
        <v>171</v>
      </c>
      <c r="F41" s="18" t="s">
        <v>172</v>
      </c>
      <c r="G41" s="19" t="s">
        <v>173</v>
      </c>
      <c r="H41" s="15" t="str">
        <f>IFERROR(__xludf.DUMMYFUNCTION("split(G41, "" "")"),"They")</f>
        <v>They</v>
      </c>
      <c r="I41" s="15" t="str">
        <f>IFERROR(__xludf.DUMMYFUNCTION("""COMPUTED_VALUE"""),"have")</f>
        <v>have</v>
      </c>
      <c r="J41" s="15" t="str">
        <f>IFERROR(__xludf.DUMMYFUNCTION("""COMPUTED_VALUE"""),"a")</f>
        <v>a</v>
      </c>
      <c r="K41" s="15" t="str">
        <f>IFERROR(__xludf.DUMMYFUNCTION("""COMPUTED_VALUE"""),"date")</f>
        <v>date</v>
      </c>
      <c r="L41" s="15" t="str">
        <f>IFERROR(__xludf.DUMMYFUNCTION("""COMPUTED_VALUE"""),"tonight.")</f>
        <v>tonight.</v>
      </c>
      <c r="M41" s="15"/>
      <c r="N41" s="15"/>
      <c r="O41" s="15"/>
      <c r="P41" s="15"/>
      <c r="Q41" s="20">
        <v>3.0</v>
      </c>
      <c r="R41" s="12">
        <v>145.0</v>
      </c>
    </row>
    <row r="42" ht="25.5" customHeight="1">
      <c r="A42" s="4">
        <v>41.0</v>
      </c>
      <c r="B42" s="5" t="s">
        <v>11</v>
      </c>
      <c r="C42" s="6" t="s">
        <v>165</v>
      </c>
      <c r="D42" s="7" t="s">
        <v>174</v>
      </c>
      <c r="E42" s="8" t="s">
        <v>175</v>
      </c>
      <c r="F42" s="9" t="s">
        <v>176</v>
      </c>
      <c r="G42" s="10" t="s">
        <v>177</v>
      </c>
      <c r="H42" s="6" t="str">
        <f>IFERROR(__xludf.DUMMYFUNCTION("split(G42, "" "")"),"The")</f>
        <v>The</v>
      </c>
      <c r="I42" s="6" t="str">
        <f>IFERROR(__xludf.DUMMYFUNCTION("""COMPUTED_VALUE"""),"wedding")</f>
        <v>wedding</v>
      </c>
      <c r="J42" s="6" t="str">
        <f>IFERROR(__xludf.DUMMYFUNCTION("""COMPUTED_VALUE"""),"is")</f>
        <v>is</v>
      </c>
      <c r="K42" s="6" t="str">
        <f>IFERROR(__xludf.DUMMYFUNCTION("""COMPUTED_VALUE"""),"full")</f>
        <v>full</v>
      </c>
      <c r="L42" s="6" t="str">
        <f>IFERROR(__xludf.DUMMYFUNCTION("""COMPUTED_VALUE"""),"of")</f>
        <v>of</v>
      </c>
      <c r="M42" s="6" t="str">
        <f>IFERROR(__xludf.DUMMYFUNCTION("""COMPUTED_VALUE"""),"love.")</f>
        <v>love.</v>
      </c>
      <c r="N42" s="6"/>
      <c r="O42" s="6"/>
      <c r="P42" s="6"/>
      <c r="Q42" s="21">
        <v>4.0</v>
      </c>
      <c r="R42" s="12">
        <v>1246.0</v>
      </c>
    </row>
    <row r="43" ht="25.5" customHeight="1">
      <c r="A43" s="13">
        <v>42.0</v>
      </c>
      <c r="B43" s="14" t="s">
        <v>11</v>
      </c>
      <c r="C43" s="15" t="s">
        <v>165</v>
      </c>
      <c r="D43" s="16" t="s">
        <v>178</v>
      </c>
      <c r="E43" s="17" t="s">
        <v>179</v>
      </c>
      <c r="F43" s="18" t="s">
        <v>180</v>
      </c>
      <c r="G43" s="19" t="s">
        <v>181</v>
      </c>
      <c r="H43" s="15" t="str">
        <f>IFERROR(__xludf.DUMMYFUNCTION("split(G43, "" "")"),"I")</f>
        <v>I</v>
      </c>
      <c r="I43" s="15" t="str">
        <f>IFERROR(__xludf.DUMMYFUNCTION("""COMPUTED_VALUE"""),"give")</f>
        <v>give</v>
      </c>
      <c r="J43" s="15" t="str">
        <f>IFERROR(__xludf.DUMMYFUNCTION("""COMPUTED_VALUE"""),"my")</f>
        <v>my</v>
      </c>
      <c r="K43" s="15" t="str">
        <f>IFERROR(__xludf.DUMMYFUNCTION("""COMPUTED_VALUE"""),"friend")</f>
        <v>friend</v>
      </c>
      <c r="L43" s="15" t="str">
        <f>IFERROR(__xludf.DUMMYFUNCTION("""COMPUTED_VALUE"""),"a")</f>
        <v>a</v>
      </c>
      <c r="M43" s="15" t="str">
        <f>IFERROR(__xludf.DUMMYFUNCTION("""COMPUTED_VALUE"""),"gift.")</f>
        <v>gift.</v>
      </c>
      <c r="N43" s="15"/>
      <c r="O43" s="15"/>
      <c r="P43" s="15"/>
      <c r="Q43" s="20">
        <v>4.0</v>
      </c>
      <c r="R43" s="12">
        <v>1246.0</v>
      </c>
    </row>
    <row r="44" ht="25.5" customHeight="1">
      <c r="A44" s="4">
        <v>43.0</v>
      </c>
      <c r="B44" s="5" t="s">
        <v>11</v>
      </c>
      <c r="C44" s="6" t="s">
        <v>165</v>
      </c>
      <c r="D44" s="7" t="s">
        <v>182</v>
      </c>
      <c r="E44" s="8" t="s">
        <v>183</v>
      </c>
      <c r="F44" s="9" t="s">
        <v>184</v>
      </c>
      <c r="G44" s="10" t="s">
        <v>185</v>
      </c>
      <c r="H44" s="6" t="str">
        <f>IFERROR(__xludf.DUMMYFUNCTION("split(G44, "" "")"),"She")</f>
        <v>She</v>
      </c>
      <c r="I44" s="6" t="str">
        <f>IFERROR(__xludf.DUMMYFUNCTION("""COMPUTED_VALUE"""),"writes")</f>
        <v>writes</v>
      </c>
      <c r="J44" s="6" t="str">
        <f>IFERROR(__xludf.DUMMYFUNCTION("""COMPUTED_VALUE"""),"a")</f>
        <v>a</v>
      </c>
      <c r="K44" s="6" t="str">
        <f>IFERROR(__xludf.DUMMYFUNCTION("""COMPUTED_VALUE"""),"love")</f>
        <v>love</v>
      </c>
      <c r="L44" s="6" t="str">
        <f>IFERROR(__xludf.DUMMYFUNCTION("""COMPUTED_VALUE"""),"letter.")</f>
        <v>letter.</v>
      </c>
      <c r="M44" s="6"/>
      <c r="N44" s="6"/>
      <c r="O44" s="6"/>
      <c r="P44" s="6"/>
      <c r="Q44" s="21">
        <v>4.0</v>
      </c>
      <c r="R44" s="12">
        <v>1245.0</v>
      </c>
    </row>
    <row r="45" ht="25.5" customHeight="1">
      <c r="A45" s="13">
        <v>44.0</v>
      </c>
      <c r="B45" s="14" t="s">
        <v>11</v>
      </c>
      <c r="C45" s="15" t="s">
        <v>165</v>
      </c>
      <c r="D45" s="16" t="s">
        <v>186</v>
      </c>
      <c r="E45" s="17" t="s">
        <v>187</v>
      </c>
      <c r="F45" s="18" t="s">
        <v>188</v>
      </c>
      <c r="G45" s="19" t="s">
        <v>189</v>
      </c>
      <c r="H45" s="15" t="str">
        <f>IFERROR(__xludf.DUMMYFUNCTION("split(G45, "" "")"),"He")</f>
        <v>He</v>
      </c>
      <c r="I45" s="15" t="str">
        <f>IFERROR(__xludf.DUMMYFUNCTION("""COMPUTED_VALUE"""),"sends")</f>
        <v>sends</v>
      </c>
      <c r="J45" s="15" t="str">
        <f>IFERROR(__xludf.DUMMYFUNCTION("""COMPUTED_VALUE"""),"a")</f>
        <v>a</v>
      </c>
      <c r="K45" s="15" t="str">
        <f>IFERROR(__xludf.DUMMYFUNCTION("""COMPUTED_VALUE"""),"kind")</f>
        <v>kind</v>
      </c>
      <c r="L45" s="15" t="str">
        <f>IFERROR(__xludf.DUMMYFUNCTION("""COMPUTED_VALUE"""),"message.")</f>
        <v>message.</v>
      </c>
      <c r="M45" s="15"/>
      <c r="N45" s="15"/>
      <c r="O45" s="15"/>
      <c r="P45" s="15"/>
      <c r="Q45" s="20">
        <v>4.0</v>
      </c>
      <c r="R45" s="12">
        <v>1245.0</v>
      </c>
    </row>
    <row r="46" ht="25.5" customHeight="1">
      <c r="A46" s="4">
        <v>45.0</v>
      </c>
      <c r="B46" s="5" t="s">
        <v>11</v>
      </c>
      <c r="C46" s="6" t="s">
        <v>165</v>
      </c>
      <c r="D46" s="7" t="s">
        <v>190</v>
      </c>
      <c r="E46" s="8" t="s">
        <v>191</v>
      </c>
      <c r="F46" s="9" t="s">
        <v>192</v>
      </c>
      <c r="G46" s="10" t="s">
        <v>193</v>
      </c>
      <c r="H46" s="6" t="str">
        <f>IFERROR(__xludf.DUMMYFUNCTION("split(G46, "" "")"),"A")</f>
        <v>A</v>
      </c>
      <c r="I46" s="6" t="str">
        <f>IFERROR(__xludf.DUMMYFUNCTION("""COMPUTED_VALUE"""),"promise")</f>
        <v>promise</v>
      </c>
      <c r="J46" s="6" t="str">
        <f>IFERROR(__xludf.DUMMYFUNCTION("""COMPUTED_VALUE"""),"is")</f>
        <v>is</v>
      </c>
      <c r="K46" s="6" t="str">
        <f>IFERROR(__xludf.DUMMYFUNCTION("""COMPUTED_VALUE"""),"important.")</f>
        <v>important.</v>
      </c>
      <c r="L46" s="6"/>
      <c r="M46" s="6"/>
      <c r="N46" s="6"/>
      <c r="O46" s="6"/>
      <c r="P46" s="6"/>
      <c r="Q46" s="21">
        <v>3.0</v>
      </c>
      <c r="R46" s="12">
        <v>124.0</v>
      </c>
    </row>
    <row r="47" ht="25.5" customHeight="1">
      <c r="A47" s="13">
        <v>46.0</v>
      </c>
      <c r="B47" s="14" t="s">
        <v>11</v>
      </c>
      <c r="C47" s="15" t="s">
        <v>165</v>
      </c>
      <c r="D47" s="16" t="s">
        <v>194</v>
      </c>
      <c r="E47" s="17" t="s">
        <v>195</v>
      </c>
      <c r="F47" s="18" t="s">
        <v>196</v>
      </c>
      <c r="G47" s="19" t="s">
        <v>197</v>
      </c>
      <c r="H47" s="15" t="str">
        <f>IFERROR(__xludf.DUMMYFUNCTION("split(G47, "" "")"),"Friends")</f>
        <v>Friends</v>
      </c>
      <c r="I47" s="15" t="str">
        <f>IFERROR(__xludf.DUMMYFUNCTION("""COMPUTED_VALUE"""),"can")</f>
        <v>can</v>
      </c>
      <c r="J47" s="15" t="str">
        <f>IFERROR(__xludf.DUMMYFUNCTION("""COMPUTED_VALUE"""),"keep")</f>
        <v>keep</v>
      </c>
      <c r="K47" s="15" t="str">
        <f>IFERROR(__xludf.DUMMYFUNCTION("""COMPUTED_VALUE"""),"a")</f>
        <v>a</v>
      </c>
      <c r="L47" s="15" t="str">
        <f>IFERROR(__xludf.DUMMYFUNCTION("""COMPUTED_VALUE"""),"secret.")</f>
        <v>secret.</v>
      </c>
      <c r="M47" s="15"/>
      <c r="N47" s="15"/>
      <c r="O47" s="15"/>
      <c r="P47" s="15"/>
      <c r="Q47" s="20">
        <v>3.0</v>
      </c>
      <c r="R47" s="12">
        <v>135.0</v>
      </c>
    </row>
    <row r="48" ht="25.5" customHeight="1">
      <c r="A48" s="4">
        <v>47.0</v>
      </c>
      <c r="B48" s="5" t="s">
        <v>11</v>
      </c>
      <c r="C48" s="6" t="s">
        <v>165</v>
      </c>
      <c r="D48" s="7" t="s">
        <v>198</v>
      </c>
      <c r="E48" s="8" t="s">
        <v>199</v>
      </c>
      <c r="F48" s="9" t="s">
        <v>200</v>
      </c>
      <c r="G48" s="10" t="s">
        <v>201</v>
      </c>
      <c r="H48" s="6" t="str">
        <f>IFERROR(__xludf.DUMMYFUNCTION("split(G48, "" "")"),"This")</f>
        <v>This</v>
      </c>
      <c r="I48" s="6" t="str">
        <f>IFERROR(__xludf.DUMMYFUNCTION("""COMPUTED_VALUE"""),"memory")</f>
        <v>memory</v>
      </c>
      <c r="J48" s="6" t="str">
        <f>IFERROR(__xludf.DUMMYFUNCTION("""COMPUTED_VALUE"""),"makes")</f>
        <v>makes</v>
      </c>
      <c r="K48" s="6" t="str">
        <f>IFERROR(__xludf.DUMMYFUNCTION("""COMPUTED_VALUE"""),"me")</f>
        <v>me</v>
      </c>
      <c r="L48" s="6" t="str">
        <f>IFERROR(__xludf.DUMMYFUNCTION("""COMPUTED_VALUE"""),"smile.")</f>
        <v>smile.</v>
      </c>
      <c r="M48" s="6"/>
      <c r="N48" s="6"/>
      <c r="O48" s="6"/>
      <c r="P48" s="6"/>
      <c r="Q48" s="21">
        <v>4.0</v>
      </c>
      <c r="R48" s="12">
        <v>1235.0</v>
      </c>
    </row>
    <row r="49" ht="25.5" customHeight="1">
      <c r="A49" s="13">
        <v>48.0</v>
      </c>
      <c r="B49" s="14" t="s">
        <v>11</v>
      </c>
      <c r="C49" s="15" t="s">
        <v>165</v>
      </c>
      <c r="D49" s="16" t="s">
        <v>202</v>
      </c>
      <c r="E49" s="17" t="s">
        <v>203</v>
      </c>
      <c r="F49" s="18" t="s">
        <v>204</v>
      </c>
      <c r="G49" s="19" t="s">
        <v>205</v>
      </c>
      <c r="H49" s="15" t="str">
        <f>IFERROR(__xludf.DUMMYFUNCTION("split(G49, "" "")"),"Support")</f>
        <v>Support</v>
      </c>
      <c r="I49" s="15" t="str">
        <f>IFERROR(__xludf.DUMMYFUNCTION("""COMPUTED_VALUE"""),"helps")</f>
        <v>helps</v>
      </c>
      <c r="J49" s="15" t="str">
        <f>IFERROR(__xludf.DUMMYFUNCTION("""COMPUTED_VALUE"""),"me")</f>
        <v>me</v>
      </c>
      <c r="K49" s="15" t="str">
        <f>IFERROR(__xludf.DUMMYFUNCTION("""COMPUTED_VALUE"""),"feel")</f>
        <v>feel</v>
      </c>
      <c r="L49" s="15" t="str">
        <f>IFERROR(__xludf.DUMMYFUNCTION("""COMPUTED_VALUE"""),"strong.")</f>
        <v>strong.</v>
      </c>
      <c r="M49" s="15"/>
      <c r="N49" s="15"/>
      <c r="O49" s="15"/>
      <c r="P49" s="15"/>
      <c r="Q49" s="20">
        <v>4.0</v>
      </c>
      <c r="R49" s="12">
        <v>1245.0</v>
      </c>
    </row>
    <row r="50" ht="25.5" customHeight="1">
      <c r="A50" s="4">
        <v>49.0</v>
      </c>
      <c r="B50" s="5" t="s">
        <v>11</v>
      </c>
      <c r="C50" s="6" t="s">
        <v>165</v>
      </c>
      <c r="D50" s="7" t="s">
        <v>206</v>
      </c>
      <c r="E50" s="8" t="s">
        <v>207</v>
      </c>
      <c r="F50" s="9" t="s">
        <v>208</v>
      </c>
      <c r="G50" s="10" t="s">
        <v>209</v>
      </c>
      <c r="H50" s="6" t="str">
        <f>IFERROR(__xludf.DUMMYFUNCTION("split(G50, "" "")"),"Her")</f>
        <v>Her</v>
      </c>
      <c r="I50" s="6" t="str">
        <f>IFERROR(__xludf.DUMMYFUNCTION("""COMPUTED_VALUE"""),"advice")</f>
        <v>advice</v>
      </c>
      <c r="J50" s="6" t="str">
        <f>IFERROR(__xludf.DUMMYFUNCTION("""COMPUTED_VALUE"""),"helps")</f>
        <v>helps</v>
      </c>
      <c r="K50" s="6" t="str">
        <f>IFERROR(__xludf.DUMMYFUNCTION("""COMPUTED_VALUE"""),"me.")</f>
        <v>me.</v>
      </c>
      <c r="L50" s="6"/>
      <c r="M50" s="6"/>
      <c r="N50" s="6"/>
      <c r="O50" s="6"/>
      <c r="P50" s="6"/>
      <c r="Q50" s="21">
        <v>3.0</v>
      </c>
      <c r="R50" s="12">
        <v>123.0</v>
      </c>
    </row>
    <row r="51" ht="25.5" customHeight="1">
      <c r="A51" s="13">
        <v>50.0</v>
      </c>
      <c r="B51" s="14" t="s">
        <v>11</v>
      </c>
      <c r="C51" s="15" t="s">
        <v>165</v>
      </c>
      <c r="D51" s="16" t="s">
        <v>210</v>
      </c>
      <c r="E51" s="17" t="s">
        <v>211</v>
      </c>
      <c r="F51" s="18" t="s">
        <v>212</v>
      </c>
      <c r="G51" s="19" t="s">
        <v>213</v>
      </c>
      <c r="H51" s="15" t="str">
        <f>IFERROR(__xludf.DUMMYFUNCTION("split(G51, "" "")"),"I")</f>
        <v>I</v>
      </c>
      <c r="I51" s="15" t="str">
        <f>IFERROR(__xludf.DUMMYFUNCTION("""COMPUTED_VALUE"""),"need")</f>
        <v>need</v>
      </c>
      <c r="J51" s="15" t="str">
        <f>IFERROR(__xludf.DUMMYFUNCTION("""COMPUTED_VALUE"""),"help")</f>
        <v>help</v>
      </c>
      <c r="K51" s="15" t="str">
        <f>IFERROR(__xludf.DUMMYFUNCTION("""COMPUTED_VALUE"""),"from")</f>
        <v>from</v>
      </c>
      <c r="L51" s="15" t="str">
        <f>IFERROR(__xludf.DUMMYFUNCTION("""COMPUTED_VALUE"""),"a")</f>
        <v>a</v>
      </c>
      <c r="M51" s="15" t="str">
        <f>IFERROR(__xludf.DUMMYFUNCTION("""COMPUTED_VALUE"""),"friend.")</f>
        <v>friend.</v>
      </c>
      <c r="N51" s="15"/>
      <c r="O51" s="15"/>
      <c r="P51" s="15"/>
      <c r="Q51" s="20">
        <v>4.0</v>
      </c>
      <c r="R51" s="12">
        <v>1236.0</v>
      </c>
    </row>
    <row r="52" ht="25.5" customHeight="1">
      <c r="A52" s="4">
        <v>51.0</v>
      </c>
      <c r="B52" s="5" t="s">
        <v>11</v>
      </c>
      <c r="C52" s="6" t="s">
        <v>165</v>
      </c>
      <c r="D52" s="7" t="s">
        <v>214</v>
      </c>
      <c r="E52" s="8" t="s">
        <v>215</v>
      </c>
      <c r="F52" s="9" t="s">
        <v>216</v>
      </c>
      <c r="G52" s="22" t="s">
        <v>217</v>
      </c>
      <c r="H52" s="6" t="str">
        <f>IFERROR(__xludf.DUMMYFUNCTION("split(G52, "" "")"),"Respect")</f>
        <v>Respect</v>
      </c>
      <c r="I52" s="6" t="str">
        <f>IFERROR(__xludf.DUMMYFUNCTION("""COMPUTED_VALUE"""),"makes")</f>
        <v>makes</v>
      </c>
      <c r="J52" s="6" t="str">
        <f>IFERROR(__xludf.DUMMYFUNCTION("""COMPUTED_VALUE"""),"love")</f>
        <v>love</v>
      </c>
      <c r="K52" s="6" t="str">
        <f>IFERROR(__xludf.DUMMYFUNCTION("""COMPUTED_VALUE"""),"stronger.")</f>
        <v>stronger.</v>
      </c>
      <c r="L52" s="6"/>
      <c r="M52" s="6"/>
      <c r="N52" s="6"/>
      <c r="O52" s="6"/>
      <c r="P52" s="6"/>
      <c r="Q52" s="21">
        <v>4.0</v>
      </c>
      <c r="R52" s="12">
        <v>1234.0</v>
      </c>
    </row>
    <row r="53" ht="25.5" customHeight="1">
      <c r="A53" s="13">
        <v>52.0</v>
      </c>
      <c r="B53" s="14" t="s">
        <v>11</v>
      </c>
      <c r="C53" s="15" t="s">
        <v>165</v>
      </c>
      <c r="D53" s="16" t="s">
        <v>218</v>
      </c>
      <c r="E53" s="17" t="s">
        <v>219</v>
      </c>
      <c r="F53" s="18" t="s">
        <v>220</v>
      </c>
      <c r="G53" s="19" t="s">
        <v>221</v>
      </c>
      <c r="H53" s="15" t="str">
        <f>IFERROR(__xludf.DUMMYFUNCTION("split(G53, "" "")"),"We")</f>
        <v>We</v>
      </c>
      <c r="I53" s="15" t="str">
        <f>IFERROR(__xludf.DUMMYFUNCTION("""COMPUTED_VALUE"""),"have")</f>
        <v>have</v>
      </c>
      <c r="J53" s="15" t="str">
        <f>IFERROR(__xludf.DUMMYFUNCTION("""COMPUTED_VALUE"""),"a")</f>
        <v>a</v>
      </c>
      <c r="K53" s="15" t="str">
        <f>IFERROR(__xludf.DUMMYFUNCTION("""COMPUTED_VALUE"""),"long")</f>
        <v>long</v>
      </c>
      <c r="L53" s="15" t="str">
        <f>IFERROR(__xludf.DUMMYFUNCTION("""COMPUTED_VALUE"""),"talk.")</f>
        <v>talk.</v>
      </c>
      <c r="M53" s="15"/>
      <c r="N53" s="15"/>
      <c r="O53" s="15"/>
      <c r="P53" s="15"/>
      <c r="Q53" s="20">
        <v>3.0</v>
      </c>
      <c r="R53" s="12">
        <v>145.0</v>
      </c>
    </row>
    <row r="54" ht="25.5" customHeight="1">
      <c r="A54" s="4">
        <v>53.0</v>
      </c>
      <c r="B54" s="5" t="s">
        <v>11</v>
      </c>
      <c r="C54" s="6" t="s">
        <v>165</v>
      </c>
      <c r="D54" s="7" t="s">
        <v>222</v>
      </c>
      <c r="E54" s="8" t="s">
        <v>223</v>
      </c>
      <c r="F54" s="9" t="s">
        <v>224</v>
      </c>
      <c r="G54" s="22" t="s">
        <v>225</v>
      </c>
      <c r="H54" s="6" t="str">
        <f>IFERROR(__xludf.DUMMYFUNCTION("split(G54, "" "")"),"The")</f>
        <v>The</v>
      </c>
      <c r="I54" s="6" t="str">
        <f>IFERROR(__xludf.DUMMYFUNCTION("""COMPUTED_VALUE"""),"meeting")</f>
        <v>meeting</v>
      </c>
      <c r="J54" s="6" t="str">
        <f>IFERROR(__xludf.DUMMYFUNCTION("""COMPUTED_VALUE"""),"is")</f>
        <v>is</v>
      </c>
      <c r="K54" s="6" t="str">
        <f>IFERROR(__xludf.DUMMYFUNCTION("""COMPUTED_VALUE"""),"friendly.")</f>
        <v>friendly.</v>
      </c>
      <c r="L54" s="6"/>
      <c r="M54" s="6"/>
      <c r="N54" s="6"/>
      <c r="O54" s="6"/>
      <c r="P54" s="6"/>
      <c r="Q54" s="21">
        <v>3.0</v>
      </c>
      <c r="R54" s="12">
        <v>124.0</v>
      </c>
    </row>
    <row r="55" ht="25.5" customHeight="1">
      <c r="A55" s="13">
        <v>54.0</v>
      </c>
      <c r="B55" s="14" t="s">
        <v>11</v>
      </c>
      <c r="C55" s="15" t="s">
        <v>165</v>
      </c>
      <c r="D55" s="16" t="s">
        <v>226</v>
      </c>
      <c r="E55" s="17" t="s">
        <v>227</v>
      </c>
      <c r="F55" s="18" t="s">
        <v>228</v>
      </c>
      <c r="G55" s="19" t="s">
        <v>229</v>
      </c>
      <c r="H55" s="15" t="str">
        <f>IFERROR(__xludf.DUMMYFUNCTION("split(G55, "" "")"),"The")</f>
        <v>The</v>
      </c>
      <c r="I55" s="15" t="str">
        <f>IFERROR(__xludf.DUMMYFUNCTION("""COMPUTED_VALUE"""),"party")</f>
        <v>party</v>
      </c>
      <c r="J55" s="15" t="str">
        <f>IFERROR(__xludf.DUMMYFUNCTION("""COMPUTED_VALUE"""),"makes")</f>
        <v>makes</v>
      </c>
      <c r="K55" s="15" t="str">
        <f>IFERROR(__xludf.DUMMYFUNCTION("""COMPUTED_VALUE"""),"everyone")</f>
        <v>everyone</v>
      </c>
      <c r="L55" s="15" t="str">
        <f>IFERROR(__xludf.DUMMYFUNCTION("""COMPUTED_VALUE"""),"happy.")</f>
        <v>happy.</v>
      </c>
      <c r="M55" s="15"/>
      <c r="N55" s="15"/>
      <c r="O55" s="15"/>
      <c r="P55" s="15"/>
      <c r="Q55" s="20">
        <v>5.0</v>
      </c>
      <c r="R55" s="12">
        <v>12345.0</v>
      </c>
    </row>
    <row r="56" ht="25.5" customHeight="1">
      <c r="A56" s="4">
        <v>55.0</v>
      </c>
      <c r="B56" s="5" t="s">
        <v>11</v>
      </c>
      <c r="C56" s="6" t="s">
        <v>165</v>
      </c>
      <c r="D56" s="7" t="s">
        <v>230</v>
      </c>
      <c r="E56" s="8" t="s">
        <v>231</v>
      </c>
      <c r="F56" s="9" t="s">
        <v>232</v>
      </c>
      <c r="G56" s="10" t="s">
        <v>233</v>
      </c>
      <c r="H56" s="6" t="str">
        <f>IFERROR(__xludf.DUMMYFUNCTION("split(G56, "" "")"),"Her")</f>
        <v>Her</v>
      </c>
      <c r="I56" s="6" t="str">
        <f>IFERROR(__xludf.DUMMYFUNCTION("""COMPUTED_VALUE"""),"visit")</f>
        <v>visit</v>
      </c>
      <c r="J56" s="6" t="str">
        <f>IFERROR(__xludf.DUMMYFUNCTION("""COMPUTED_VALUE"""),"makes")</f>
        <v>makes</v>
      </c>
      <c r="K56" s="6" t="str">
        <f>IFERROR(__xludf.DUMMYFUNCTION("""COMPUTED_VALUE"""),"me")</f>
        <v>me</v>
      </c>
      <c r="L56" s="6" t="str">
        <f>IFERROR(__xludf.DUMMYFUNCTION("""COMPUTED_VALUE"""),"happy.")</f>
        <v>happy.</v>
      </c>
      <c r="M56" s="6"/>
      <c r="N56" s="6"/>
      <c r="O56" s="6"/>
      <c r="P56" s="6"/>
      <c r="Q56" s="21">
        <v>4.0</v>
      </c>
      <c r="R56" s="12">
        <v>1235.0</v>
      </c>
    </row>
    <row r="57" ht="25.5" customHeight="1">
      <c r="A57" s="13">
        <v>56.0</v>
      </c>
      <c r="B57" s="14" t="s">
        <v>11</v>
      </c>
      <c r="C57" s="15" t="s">
        <v>165</v>
      </c>
      <c r="D57" s="16" t="s">
        <v>234</v>
      </c>
      <c r="E57" s="17" t="s">
        <v>235</v>
      </c>
      <c r="F57" s="18" t="s">
        <v>236</v>
      </c>
      <c r="G57" s="19" t="s">
        <v>237</v>
      </c>
      <c r="H57" s="15" t="str">
        <f>IFERROR(__xludf.DUMMYFUNCTION("split(G57, "" "")"),"His")</f>
        <v>His</v>
      </c>
      <c r="I57" s="15" t="str">
        <f>IFERROR(__xludf.DUMMYFUNCTION("""COMPUTED_VALUE"""),"apology")</f>
        <v>apology</v>
      </c>
      <c r="J57" s="15" t="str">
        <f>IFERROR(__xludf.DUMMYFUNCTION("""COMPUTED_VALUE"""),"is")</f>
        <v>is</v>
      </c>
      <c r="K57" s="15" t="str">
        <f>IFERROR(__xludf.DUMMYFUNCTION("""COMPUTED_VALUE"""),"honest.")</f>
        <v>honest.</v>
      </c>
      <c r="L57" s="15"/>
      <c r="M57" s="15"/>
      <c r="N57" s="15"/>
      <c r="O57" s="15"/>
      <c r="P57" s="15"/>
      <c r="Q57" s="20">
        <v>3.0</v>
      </c>
      <c r="R57" s="12">
        <v>124.0</v>
      </c>
    </row>
    <row r="58" ht="25.5" customHeight="1">
      <c r="A58" s="4">
        <v>57.0</v>
      </c>
      <c r="B58" s="5" t="s">
        <v>11</v>
      </c>
      <c r="C58" s="6" t="s">
        <v>165</v>
      </c>
      <c r="D58" s="7" t="s">
        <v>238</v>
      </c>
      <c r="E58" s="8" t="s">
        <v>239</v>
      </c>
      <c r="F58" s="9" t="s">
        <v>240</v>
      </c>
      <c r="G58" s="10" t="s">
        <v>241</v>
      </c>
      <c r="H58" s="6" t="str">
        <f>IFERROR(__xludf.DUMMYFUNCTION("split(G58, "" "")"),"Thanks")</f>
        <v>Thanks</v>
      </c>
      <c r="I58" s="6" t="str">
        <f>IFERROR(__xludf.DUMMYFUNCTION("""COMPUTED_VALUE"""),"can")</f>
        <v>can</v>
      </c>
      <c r="J58" s="6" t="str">
        <f>IFERROR(__xludf.DUMMYFUNCTION("""COMPUTED_VALUE"""),"show")</f>
        <v>show</v>
      </c>
      <c r="K58" s="6" t="str">
        <f>IFERROR(__xludf.DUMMYFUNCTION("""COMPUTED_VALUE"""),"care.")</f>
        <v>care.</v>
      </c>
      <c r="L58" s="6"/>
      <c r="M58" s="6"/>
      <c r="N58" s="6"/>
      <c r="O58" s="6"/>
      <c r="P58" s="6"/>
      <c r="Q58" s="21">
        <v>3.0</v>
      </c>
      <c r="R58" s="12">
        <v>134.0</v>
      </c>
    </row>
    <row r="59" ht="25.5" customHeight="1">
      <c r="A59" s="13">
        <v>58.0</v>
      </c>
      <c r="B59" s="14" t="s">
        <v>11</v>
      </c>
      <c r="C59" s="15" t="s">
        <v>165</v>
      </c>
      <c r="D59" s="16" t="s">
        <v>242</v>
      </c>
      <c r="E59" s="17" t="s">
        <v>243</v>
      </c>
      <c r="F59" s="18" t="s">
        <v>244</v>
      </c>
      <c r="G59" s="19" t="s">
        <v>245</v>
      </c>
      <c r="H59" s="15" t="str">
        <f>IFERROR(__xludf.DUMMYFUNCTION("split(G59, "" "")"),"Goodbye")</f>
        <v>Goodbye</v>
      </c>
      <c r="I59" s="15" t="str">
        <f>IFERROR(__xludf.DUMMYFUNCTION("""COMPUTED_VALUE"""),"can")</f>
        <v>can</v>
      </c>
      <c r="J59" s="15" t="str">
        <f>IFERROR(__xludf.DUMMYFUNCTION("""COMPUTED_VALUE"""),"be")</f>
        <v>be</v>
      </c>
      <c r="K59" s="15" t="str">
        <f>IFERROR(__xludf.DUMMYFUNCTION("""COMPUTED_VALUE"""),"sad.")</f>
        <v>sad.</v>
      </c>
      <c r="L59" s="15"/>
      <c r="M59" s="15"/>
      <c r="N59" s="15"/>
      <c r="O59" s="15"/>
      <c r="P59" s="15"/>
      <c r="Q59" s="20">
        <v>2.0</v>
      </c>
      <c r="R59" s="12">
        <v>14.0</v>
      </c>
    </row>
    <row r="60" ht="25.5" customHeight="1">
      <c r="A60" s="4">
        <v>59.0</v>
      </c>
      <c r="B60" s="5" t="s">
        <v>11</v>
      </c>
      <c r="C60" s="6" t="s">
        <v>246</v>
      </c>
      <c r="D60" s="7" t="s">
        <v>247</v>
      </c>
      <c r="E60" s="8" t="s">
        <v>14</v>
      </c>
      <c r="F60" s="9" t="s">
        <v>248</v>
      </c>
      <c r="G60" s="10" t="s">
        <v>249</v>
      </c>
      <c r="H60" s="6" t="str">
        <f>IFERROR(__xludf.DUMMYFUNCTION("split(G60, "" "")"),"I")</f>
        <v>I</v>
      </c>
      <c r="I60" s="6" t="str">
        <f>IFERROR(__xludf.DUMMYFUNCTION("""COMPUTED_VALUE"""),"love")</f>
        <v>love</v>
      </c>
      <c r="J60" s="6" t="str">
        <f>IFERROR(__xludf.DUMMYFUNCTION("""COMPUTED_VALUE"""),"my")</f>
        <v>my</v>
      </c>
      <c r="K60" s="6" t="str">
        <f>IFERROR(__xludf.DUMMYFUNCTION("""COMPUTED_VALUE"""),"family.")</f>
        <v>family.</v>
      </c>
      <c r="L60" s="6"/>
      <c r="M60" s="6"/>
      <c r="N60" s="6"/>
      <c r="O60" s="6"/>
      <c r="P60" s="6"/>
      <c r="Q60" s="21">
        <v>3.0</v>
      </c>
      <c r="R60" s="12">
        <v>124.0</v>
      </c>
    </row>
    <row r="61" ht="25.5" customHeight="1">
      <c r="A61" s="13">
        <v>60.0</v>
      </c>
      <c r="B61" s="14" t="s">
        <v>11</v>
      </c>
      <c r="C61" s="15" t="s">
        <v>246</v>
      </c>
      <c r="D61" s="16" t="s">
        <v>250</v>
      </c>
      <c r="E61" s="17" t="s">
        <v>251</v>
      </c>
      <c r="F61" s="18" t="s">
        <v>252</v>
      </c>
      <c r="G61" s="19" t="s">
        <v>253</v>
      </c>
      <c r="H61" s="15" t="str">
        <f>IFERROR(__xludf.DUMMYFUNCTION("split(G61, "" "")"),"I")</f>
        <v>I</v>
      </c>
      <c r="I61" s="15" t="str">
        <f>IFERROR(__xludf.DUMMYFUNCTION("""COMPUTED_VALUE"""),"like")</f>
        <v>like</v>
      </c>
      <c r="J61" s="15" t="str">
        <f>IFERROR(__xludf.DUMMYFUNCTION("""COMPUTED_VALUE"""),"my")</f>
        <v>my</v>
      </c>
      <c r="K61" s="15" t="str">
        <f>IFERROR(__xludf.DUMMYFUNCTION("""COMPUTED_VALUE"""),"new")</f>
        <v>new</v>
      </c>
      <c r="L61" s="15" t="str">
        <f>IFERROR(__xludf.DUMMYFUNCTION("""COMPUTED_VALUE"""),"friend.")</f>
        <v>friend.</v>
      </c>
      <c r="M61" s="15"/>
      <c r="N61" s="15"/>
      <c r="O61" s="15"/>
      <c r="P61" s="15"/>
      <c r="Q61" s="20">
        <v>4.0</v>
      </c>
      <c r="R61" s="12">
        <v>1245.0</v>
      </c>
    </row>
    <row r="62" ht="25.5" customHeight="1">
      <c r="A62" s="4">
        <v>61.0</v>
      </c>
      <c r="B62" s="5" t="s">
        <v>11</v>
      </c>
      <c r="C62" s="6" t="s">
        <v>246</v>
      </c>
      <c r="D62" s="7" t="s">
        <v>254</v>
      </c>
      <c r="E62" s="8" t="s">
        <v>255</v>
      </c>
      <c r="F62" s="9" t="s">
        <v>256</v>
      </c>
      <c r="G62" s="10" t="s">
        <v>257</v>
      </c>
      <c r="H62" s="6" t="str">
        <f>IFERROR(__xludf.DUMMYFUNCTION("split(G62, "" "")"),"I")</f>
        <v>I</v>
      </c>
      <c r="I62" s="6" t="str">
        <f>IFERROR(__xludf.DUMMYFUNCTION("""COMPUTED_VALUE"""),"miss")</f>
        <v>miss</v>
      </c>
      <c r="J62" s="6" t="str">
        <f>IFERROR(__xludf.DUMMYFUNCTION("""COMPUTED_VALUE"""),"my")</f>
        <v>my</v>
      </c>
      <c r="K62" s="6" t="str">
        <f>IFERROR(__xludf.DUMMYFUNCTION("""COMPUTED_VALUE"""),"mother.")</f>
        <v>mother.</v>
      </c>
      <c r="L62" s="6"/>
      <c r="M62" s="6"/>
      <c r="N62" s="6"/>
      <c r="O62" s="6"/>
      <c r="P62" s="6"/>
      <c r="Q62" s="21">
        <v>3.0</v>
      </c>
      <c r="R62" s="12">
        <v>124.0</v>
      </c>
    </row>
    <row r="63" ht="25.5" customHeight="1">
      <c r="A63" s="13">
        <v>62.0</v>
      </c>
      <c r="B63" s="14" t="s">
        <v>11</v>
      </c>
      <c r="C63" s="15" t="s">
        <v>246</v>
      </c>
      <c r="D63" s="16" t="s">
        <v>258</v>
      </c>
      <c r="E63" s="17" t="s">
        <v>70</v>
      </c>
      <c r="F63" s="18" t="s">
        <v>259</v>
      </c>
      <c r="G63" s="22" t="s">
        <v>260</v>
      </c>
      <c r="H63" s="15" t="str">
        <f>IFERROR(__xludf.DUMMYFUNCTION("split(G63, "" "")"),"Parents")</f>
        <v>Parents</v>
      </c>
      <c r="I63" s="15" t="str">
        <f>IFERROR(__xludf.DUMMYFUNCTION("""COMPUTED_VALUE"""),"care")</f>
        <v>care</v>
      </c>
      <c r="J63" s="15" t="str">
        <f>IFERROR(__xludf.DUMMYFUNCTION("""COMPUTED_VALUE"""),"for")</f>
        <v>for</v>
      </c>
      <c r="K63" s="15" t="str">
        <f>IFERROR(__xludf.DUMMYFUNCTION("""COMPUTED_VALUE"""),"their")</f>
        <v>their</v>
      </c>
      <c r="L63" s="15" t="str">
        <f>IFERROR(__xludf.DUMMYFUNCTION("""COMPUTED_VALUE"""),"children.")</f>
        <v>children.</v>
      </c>
      <c r="M63" s="15"/>
      <c r="N63" s="15"/>
      <c r="O63" s="15"/>
      <c r="P63" s="15"/>
      <c r="Q63" s="20">
        <v>3.0</v>
      </c>
      <c r="R63" s="12">
        <v>125.0</v>
      </c>
    </row>
    <row r="64" ht="25.5" customHeight="1">
      <c r="A64" s="4">
        <v>63.0</v>
      </c>
      <c r="B64" s="5" t="s">
        <v>11</v>
      </c>
      <c r="C64" s="6" t="s">
        <v>246</v>
      </c>
      <c r="D64" s="7" t="s">
        <v>261</v>
      </c>
      <c r="E64" s="8" t="s">
        <v>211</v>
      </c>
      <c r="F64" s="9" t="s">
        <v>262</v>
      </c>
      <c r="G64" s="10" t="s">
        <v>263</v>
      </c>
      <c r="H64" s="6" t="str">
        <f>IFERROR(__xludf.DUMMYFUNCTION("split(G64, "" "")"),"Friends")</f>
        <v>Friends</v>
      </c>
      <c r="I64" s="6" t="str">
        <f>IFERROR(__xludf.DUMMYFUNCTION("""COMPUTED_VALUE"""),"help")</f>
        <v>help</v>
      </c>
      <c r="J64" s="6" t="str">
        <f>IFERROR(__xludf.DUMMYFUNCTION("""COMPUTED_VALUE"""),"each")</f>
        <v>each</v>
      </c>
      <c r="K64" s="6" t="str">
        <f>IFERROR(__xludf.DUMMYFUNCTION("""COMPUTED_VALUE"""),"other.")</f>
        <v>other.</v>
      </c>
      <c r="L64" s="6"/>
      <c r="M64" s="6"/>
      <c r="N64" s="6"/>
      <c r="O64" s="6"/>
      <c r="P64" s="6"/>
      <c r="Q64" s="21">
        <v>3.0</v>
      </c>
      <c r="R64" s="12">
        <v>124.0</v>
      </c>
    </row>
    <row r="65" ht="25.5" customHeight="1">
      <c r="A65" s="13">
        <v>64.0</v>
      </c>
      <c r="B65" s="14" t="s">
        <v>11</v>
      </c>
      <c r="C65" s="15" t="s">
        <v>246</v>
      </c>
      <c r="D65" s="16" t="s">
        <v>264</v>
      </c>
      <c r="E65" s="17" t="s">
        <v>66</v>
      </c>
      <c r="F65" s="18" t="s">
        <v>265</v>
      </c>
      <c r="G65" s="22" t="s">
        <v>266</v>
      </c>
      <c r="H65" s="15" t="str">
        <f>IFERROR(__xludf.DUMMYFUNCTION("split(G65, "" "")"),"I")</f>
        <v>I</v>
      </c>
      <c r="I65" s="15" t="str">
        <f>IFERROR(__xludf.DUMMYFUNCTION("""COMPUTED_VALUE"""),"trust")</f>
        <v>trust</v>
      </c>
      <c r="J65" s="15" t="str">
        <f>IFERROR(__xludf.DUMMYFUNCTION("""COMPUTED_VALUE"""),"my")</f>
        <v>my</v>
      </c>
      <c r="K65" s="15" t="str">
        <f>IFERROR(__xludf.DUMMYFUNCTION("""COMPUTED_VALUE"""),"best")</f>
        <v>best</v>
      </c>
      <c r="L65" s="15" t="str">
        <f>IFERROR(__xludf.DUMMYFUNCTION("""COMPUTED_VALUE"""),"friend.")</f>
        <v>friend.</v>
      </c>
      <c r="M65" s="15"/>
      <c r="N65" s="15"/>
      <c r="O65" s="15"/>
      <c r="P65" s="15"/>
      <c r="Q65" s="20">
        <v>4.0</v>
      </c>
      <c r="R65" s="12">
        <v>1245.0</v>
      </c>
    </row>
    <row r="66" ht="25.5" customHeight="1">
      <c r="A66" s="4">
        <v>65.0</v>
      </c>
      <c r="B66" s="5" t="s">
        <v>11</v>
      </c>
      <c r="C66" s="6" t="s">
        <v>246</v>
      </c>
      <c r="D66" s="7" t="s">
        <v>267</v>
      </c>
      <c r="E66" s="8" t="s">
        <v>268</v>
      </c>
      <c r="F66" s="9" t="s">
        <v>269</v>
      </c>
      <c r="G66" s="10" t="s">
        <v>270</v>
      </c>
      <c r="H66" s="6" t="str">
        <f>IFERROR(__xludf.DUMMYFUNCTION("split(G66, "" "")"),"We")</f>
        <v>We</v>
      </c>
      <c r="I66" s="6" t="str">
        <f>IFERROR(__xludf.DUMMYFUNCTION("""COMPUTED_VALUE"""),"share")</f>
        <v>share</v>
      </c>
      <c r="J66" s="6" t="str">
        <f>IFERROR(__xludf.DUMMYFUNCTION("""COMPUTED_VALUE"""),"our")</f>
        <v>our</v>
      </c>
      <c r="K66" s="6" t="str">
        <f>IFERROR(__xludf.DUMMYFUNCTION("""COMPUTED_VALUE"""),"feelings.")</f>
        <v>feelings.</v>
      </c>
      <c r="L66" s="6"/>
      <c r="M66" s="6"/>
      <c r="N66" s="6"/>
      <c r="O66" s="6"/>
      <c r="P66" s="6"/>
      <c r="Q66" s="21">
        <v>3.0</v>
      </c>
      <c r="R66" s="12">
        <v>124.0</v>
      </c>
    </row>
    <row r="67" ht="25.5" customHeight="1">
      <c r="A67" s="13">
        <v>66.0</v>
      </c>
      <c r="B67" s="14" t="s">
        <v>11</v>
      </c>
      <c r="C67" s="15" t="s">
        <v>246</v>
      </c>
      <c r="D67" s="16" t="s">
        <v>271</v>
      </c>
      <c r="E67" s="17" t="s">
        <v>158</v>
      </c>
      <c r="F67" s="18" t="s">
        <v>272</v>
      </c>
      <c r="G67" s="19" t="s">
        <v>273</v>
      </c>
      <c r="H67" s="15" t="str">
        <f>IFERROR(__xludf.DUMMYFUNCTION("split(G67, "" "")"),"She")</f>
        <v>She</v>
      </c>
      <c r="I67" s="15" t="str">
        <f>IFERROR(__xludf.DUMMYFUNCTION("""COMPUTED_VALUE"""),"hugs")</f>
        <v>hugs</v>
      </c>
      <c r="J67" s="15" t="str">
        <f>IFERROR(__xludf.DUMMYFUNCTION("""COMPUTED_VALUE"""),"her")</f>
        <v>her</v>
      </c>
      <c r="K67" s="15" t="str">
        <f>IFERROR(__xludf.DUMMYFUNCTION("""COMPUTED_VALUE"""),"child.")</f>
        <v>child.</v>
      </c>
      <c r="L67" s="15"/>
      <c r="M67" s="15"/>
      <c r="N67" s="15"/>
      <c r="O67" s="15"/>
      <c r="P67" s="15"/>
      <c r="Q67" s="20">
        <v>3.0</v>
      </c>
      <c r="R67" s="12">
        <v>124.0</v>
      </c>
    </row>
    <row r="68" ht="25.5" customHeight="1">
      <c r="A68" s="4">
        <v>67.0</v>
      </c>
      <c r="B68" s="5" t="s">
        <v>11</v>
      </c>
      <c r="C68" s="6" t="s">
        <v>246</v>
      </c>
      <c r="D68" s="7" t="s">
        <v>274</v>
      </c>
      <c r="E68" s="8" t="s">
        <v>162</v>
      </c>
      <c r="F68" s="9" t="s">
        <v>275</v>
      </c>
      <c r="G68" s="10" t="s">
        <v>276</v>
      </c>
      <c r="H68" s="6" t="str">
        <f>IFERROR(__xludf.DUMMYFUNCTION("split(G68, "" "")"),"The")</f>
        <v>The</v>
      </c>
      <c r="I68" s="6" t="str">
        <f>IFERROR(__xludf.DUMMYFUNCTION("""COMPUTED_VALUE"""),"mother")</f>
        <v>mother</v>
      </c>
      <c r="J68" s="6" t="str">
        <f>IFERROR(__xludf.DUMMYFUNCTION("""COMPUTED_VALUE"""),"kisses")</f>
        <v>kisses</v>
      </c>
      <c r="K68" s="6" t="str">
        <f>IFERROR(__xludf.DUMMYFUNCTION("""COMPUTED_VALUE"""),"the")</f>
        <v>the</v>
      </c>
      <c r="L68" s="6" t="str">
        <f>IFERROR(__xludf.DUMMYFUNCTION("""COMPUTED_VALUE"""),"baby.")</f>
        <v>baby.</v>
      </c>
      <c r="M68" s="6"/>
      <c r="N68" s="6"/>
      <c r="O68" s="6"/>
      <c r="P68" s="6"/>
      <c r="Q68" s="21">
        <v>4.0</v>
      </c>
      <c r="R68" s="12">
        <v>1235.0</v>
      </c>
    </row>
    <row r="69" ht="25.5" customHeight="1">
      <c r="A69" s="13">
        <v>68.0</v>
      </c>
      <c r="B69" s="14" t="s">
        <v>11</v>
      </c>
      <c r="C69" s="15" t="s">
        <v>246</v>
      </c>
      <c r="D69" s="16" t="s">
        <v>277</v>
      </c>
      <c r="E69" s="17" t="s">
        <v>90</v>
      </c>
      <c r="F69" s="18" t="s">
        <v>278</v>
      </c>
      <c r="G69" s="19" t="s">
        <v>279</v>
      </c>
      <c r="H69" s="15" t="str">
        <f>IFERROR(__xludf.DUMMYFUNCTION("split(G69, "" "")"),"He")</f>
        <v>He</v>
      </c>
      <c r="I69" s="15" t="str">
        <f>IFERROR(__xludf.DUMMYFUNCTION("""COMPUTED_VALUE"""),"smiles")</f>
        <v>smiles</v>
      </c>
      <c r="J69" s="15" t="str">
        <f>IFERROR(__xludf.DUMMYFUNCTION("""COMPUTED_VALUE"""),"when")</f>
        <v>when</v>
      </c>
      <c r="K69" s="15" t="str">
        <f>IFERROR(__xludf.DUMMYFUNCTION("""COMPUTED_VALUE"""),"he")</f>
        <v>he</v>
      </c>
      <c r="L69" s="15" t="str">
        <f>IFERROR(__xludf.DUMMYFUNCTION("""COMPUTED_VALUE"""),"is")</f>
        <v>is</v>
      </c>
      <c r="M69" s="15" t="str">
        <f>IFERROR(__xludf.DUMMYFUNCTION("""COMPUTED_VALUE"""),"happy.")</f>
        <v>happy.</v>
      </c>
      <c r="N69" s="15"/>
      <c r="O69" s="15"/>
      <c r="P69" s="15"/>
      <c r="Q69" s="20">
        <v>3.0</v>
      </c>
      <c r="R69" s="12">
        <v>126.0</v>
      </c>
    </row>
    <row r="70" ht="25.5" customHeight="1">
      <c r="A70" s="4">
        <v>69.0</v>
      </c>
      <c r="B70" s="5" t="s">
        <v>11</v>
      </c>
      <c r="C70" s="6" t="s">
        <v>246</v>
      </c>
      <c r="D70" s="7" t="s">
        <v>280</v>
      </c>
      <c r="E70" s="8" t="s">
        <v>281</v>
      </c>
      <c r="F70" s="9" t="s">
        <v>282</v>
      </c>
      <c r="G70" s="10" t="s">
        <v>283</v>
      </c>
      <c r="H70" s="6" t="str">
        <f>IFERROR(__xludf.DUMMYFUNCTION("split(G70, "" "")"),"The")</f>
        <v>The</v>
      </c>
      <c r="I70" s="6" t="str">
        <f>IFERROR(__xludf.DUMMYFUNCTION("""COMPUTED_VALUE"""),"child")</f>
        <v>child</v>
      </c>
      <c r="J70" s="6" t="str">
        <f>IFERROR(__xludf.DUMMYFUNCTION("""COMPUTED_VALUE"""),"cries")</f>
        <v>cries</v>
      </c>
      <c r="K70" s="6" t="str">
        <f>IFERROR(__xludf.DUMMYFUNCTION("""COMPUTED_VALUE"""),"at")</f>
        <v>at</v>
      </c>
      <c r="L70" s="6" t="str">
        <f>IFERROR(__xludf.DUMMYFUNCTION("""COMPUTED_VALUE"""),"night.")</f>
        <v>night.</v>
      </c>
      <c r="M70" s="6"/>
      <c r="N70" s="6"/>
      <c r="O70" s="6"/>
      <c r="P70" s="6"/>
      <c r="Q70" s="21">
        <v>4.0</v>
      </c>
      <c r="R70" s="12">
        <v>1235.0</v>
      </c>
    </row>
    <row r="71" ht="25.5" customHeight="1">
      <c r="A71" s="13">
        <v>70.0</v>
      </c>
      <c r="B71" s="14" t="s">
        <v>11</v>
      </c>
      <c r="C71" s="15" t="s">
        <v>246</v>
      </c>
      <c r="D71" s="16" t="s">
        <v>284</v>
      </c>
      <c r="E71" s="17" t="s">
        <v>285</v>
      </c>
      <c r="F71" s="18" t="s">
        <v>286</v>
      </c>
      <c r="G71" s="19" t="s">
        <v>287</v>
      </c>
      <c r="H71" s="15" t="str">
        <f>IFERROR(__xludf.DUMMYFUNCTION("split(G71, "" "")"),"We")</f>
        <v>We</v>
      </c>
      <c r="I71" s="15" t="str">
        <f>IFERROR(__xludf.DUMMYFUNCTION("""COMPUTED_VALUE"""),"laugh")</f>
        <v>laugh</v>
      </c>
      <c r="J71" s="15" t="str">
        <f>IFERROR(__xludf.DUMMYFUNCTION("""COMPUTED_VALUE"""),"at")</f>
        <v>at</v>
      </c>
      <c r="K71" s="15" t="str">
        <f>IFERROR(__xludf.DUMMYFUNCTION("""COMPUTED_VALUE"""),"funny")</f>
        <v>funny</v>
      </c>
      <c r="L71" s="15" t="str">
        <f>IFERROR(__xludf.DUMMYFUNCTION("""COMPUTED_VALUE"""),"stories.")</f>
        <v>stories.</v>
      </c>
      <c r="M71" s="15"/>
      <c r="N71" s="15"/>
      <c r="O71" s="15"/>
      <c r="P71" s="15"/>
      <c r="Q71" s="20">
        <v>4.0</v>
      </c>
      <c r="R71" s="12">
        <v>1245.0</v>
      </c>
    </row>
    <row r="72" ht="25.5" customHeight="1">
      <c r="A72" s="4">
        <v>71.0</v>
      </c>
      <c r="B72" s="5" t="s">
        <v>11</v>
      </c>
      <c r="C72" s="6" t="s">
        <v>246</v>
      </c>
      <c r="D72" s="7" t="s">
        <v>288</v>
      </c>
      <c r="E72" s="8" t="s">
        <v>289</v>
      </c>
      <c r="F72" s="9" t="s">
        <v>290</v>
      </c>
      <c r="G72" s="10" t="s">
        <v>291</v>
      </c>
      <c r="H72" s="6" t="str">
        <f>IFERROR(__xludf.DUMMYFUNCTION("split(G72, "" "")"),"I")</f>
        <v>I</v>
      </c>
      <c r="I72" s="6" t="str">
        <f>IFERROR(__xludf.DUMMYFUNCTION("""COMPUTED_VALUE"""),"feel")</f>
        <v>feel</v>
      </c>
      <c r="J72" s="6" t="str">
        <f>IFERROR(__xludf.DUMMYFUNCTION("""COMPUTED_VALUE"""),"happy")</f>
        <v>happy</v>
      </c>
      <c r="K72" s="6" t="str">
        <f>IFERROR(__xludf.DUMMYFUNCTION("""COMPUTED_VALUE"""),"today.")</f>
        <v>today.</v>
      </c>
      <c r="L72" s="6"/>
      <c r="M72" s="6"/>
      <c r="N72" s="6"/>
      <c r="O72" s="6"/>
      <c r="P72" s="6"/>
      <c r="Q72" s="21">
        <v>4.0</v>
      </c>
      <c r="R72" s="12">
        <v>1234.0</v>
      </c>
    </row>
    <row r="73" ht="25.5" customHeight="1">
      <c r="A73" s="13">
        <v>72.0</v>
      </c>
      <c r="B73" s="14" t="s">
        <v>11</v>
      </c>
      <c r="C73" s="15" t="s">
        <v>246</v>
      </c>
      <c r="D73" s="16" t="s">
        <v>292</v>
      </c>
      <c r="E73" s="17" t="s">
        <v>219</v>
      </c>
      <c r="F73" s="18" t="s">
        <v>293</v>
      </c>
      <c r="G73" s="19" t="s">
        <v>294</v>
      </c>
      <c r="H73" s="15" t="str">
        <f>IFERROR(__xludf.DUMMYFUNCTION("split(G73, "" "")"),"We")</f>
        <v>We</v>
      </c>
      <c r="I73" s="15" t="str">
        <f>IFERROR(__xludf.DUMMYFUNCTION("""COMPUTED_VALUE"""),"talk")</f>
        <v>talk</v>
      </c>
      <c r="J73" s="15" t="str">
        <f>IFERROR(__xludf.DUMMYFUNCTION("""COMPUTED_VALUE"""),"about")</f>
        <v>about</v>
      </c>
      <c r="K73" s="15" t="str">
        <f>IFERROR(__xludf.DUMMYFUNCTION("""COMPUTED_VALUE"""),"our")</f>
        <v>our</v>
      </c>
      <c r="L73" s="15" t="str">
        <f>IFERROR(__xludf.DUMMYFUNCTION("""COMPUTED_VALUE"""),"feelings.")</f>
        <v>feelings.</v>
      </c>
      <c r="M73" s="15"/>
      <c r="N73" s="15"/>
      <c r="O73" s="15"/>
      <c r="P73" s="15"/>
      <c r="Q73" s="20">
        <v>3.0</v>
      </c>
      <c r="R73" s="12">
        <v>125.0</v>
      </c>
    </row>
    <row r="74" ht="25.5" customHeight="1">
      <c r="A74" s="4">
        <v>73.0</v>
      </c>
      <c r="B74" s="5" t="s">
        <v>11</v>
      </c>
      <c r="C74" s="6" t="s">
        <v>246</v>
      </c>
      <c r="D74" s="7" t="s">
        <v>295</v>
      </c>
      <c r="E74" s="8" t="s">
        <v>296</v>
      </c>
      <c r="F74" s="9" t="s">
        <v>297</v>
      </c>
      <c r="G74" s="10" t="s">
        <v>298</v>
      </c>
      <c r="H74" s="6" t="str">
        <f>IFERROR(__xludf.DUMMYFUNCTION("split(G74, "" "")"),"Good")</f>
        <v>Good</v>
      </c>
      <c r="I74" s="6" t="str">
        <f>IFERROR(__xludf.DUMMYFUNCTION("""COMPUTED_VALUE"""),"friends")</f>
        <v>friends</v>
      </c>
      <c r="J74" s="6" t="str">
        <f>IFERROR(__xludf.DUMMYFUNCTION("""COMPUTED_VALUE"""),"listen")</f>
        <v>listen</v>
      </c>
      <c r="K74" s="6" t="str">
        <f>IFERROR(__xludf.DUMMYFUNCTION("""COMPUTED_VALUE"""),"carefully.")</f>
        <v>carefully.</v>
      </c>
      <c r="L74" s="6"/>
      <c r="M74" s="6"/>
      <c r="N74" s="6"/>
      <c r="O74" s="6"/>
      <c r="P74" s="6"/>
      <c r="Q74" s="21">
        <v>4.0</v>
      </c>
      <c r="R74" s="12">
        <v>1234.0</v>
      </c>
    </row>
    <row r="75" ht="25.5" customHeight="1">
      <c r="A75" s="13">
        <v>74.0</v>
      </c>
      <c r="B75" s="14" t="s">
        <v>11</v>
      </c>
      <c r="C75" s="15" t="s">
        <v>246</v>
      </c>
      <c r="D75" s="16" t="s">
        <v>299</v>
      </c>
      <c r="E75" s="17" t="s">
        <v>300</v>
      </c>
      <c r="F75" s="18" t="s">
        <v>301</v>
      </c>
      <c r="G75" s="19" t="s">
        <v>302</v>
      </c>
      <c r="H75" s="15" t="str">
        <f>IFERROR(__xludf.DUMMYFUNCTION("split(G75, "" "")"),"I")</f>
        <v>I</v>
      </c>
      <c r="I75" s="15" t="str">
        <f>IFERROR(__xludf.DUMMYFUNCTION("""COMPUTED_VALUE"""),"forgive")</f>
        <v>forgive</v>
      </c>
      <c r="J75" s="15" t="str">
        <f>IFERROR(__xludf.DUMMYFUNCTION("""COMPUTED_VALUE"""),"my")</f>
        <v>my</v>
      </c>
      <c r="K75" s="15" t="str">
        <f>IFERROR(__xludf.DUMMYFUNCTION("""COMPUTED_VALUE"""),"friend.")</f>
        <v>friend.</v>
      </c>
      <c r="L75" s="15"/>
      <c r="M75" s="15"/>
      <c r="N75" s="15"/>
      <c r="O75" s="15"/>
      <c r="P75" s="15"/>
      <c r="Q75" s="20">
        <v>3.0</v>
      </c>
      <c r="R75" s="12">
        <v>124.0</v>
      </c>
    </row>
    <row r="76" ht="25.5" customHeight="1">
      <c r="A76" s="4">
        <v>75.0</v>
      </c>
      <c r="B76" s="5" t="s">
        <v>11</v>
      </c>
      <c r="C76" s="6" t="s">
        <v>246</v>
      </c>
      <c r="D76" s="7" t="s">
        <v>303</v>
      </c>
      <c r="E76" s="8" t="s">
        <v>191</v>
      </c>
      <c r="F76" s="9" t="s">
        <v>304</v>
      </c>
      <c r="G76" s="10" t="s">
        <v>305</v>
      </c>
      <c r="H76" s="6" t="str">
        <f>IFERROR(__xludf.DUMMYFUNCTION("split(G76, "" "")"),"I")</f>
        <v>I</v>
      </c>
      <c r="I76" s="6" t="str">
        <f>IFERROR(__xludf.DUMMYFUNCTION("""COMPUTED_VALUE"""),"promise")</f>
        <v>promise</v>
      </c>
      <c r="J76" s="6" t="str">
        <f>IFERROR(__xludf.DUMMYFUNCTION("""COMPUTED_VALUE"""),"to")</f>
        <v>to</v>
      </c>
      <c r="K76" s="6" t="str">
        <f>IFERROR(__xludf.DUMMYFUNCTION("""COMPUTED_VALUE"""),"help")</f>
        <v>help</v>
      </c>
      <c r="L76" s="6" t="str">
        <f>IFERROR(__xludf.DUMMYFUNCTION("""COMPUTED_VALUE"""),"you.")</f>
        <v>you.</v>
      </c>
      <c r="M76" s="6"/>
      <c r="N76" s="6"/>
      <c r="O76" s="6"/>
      <c r="P76" s="6"/>
      <c r="Q76" s="21">
        <v>4.0</v>
      </c>
      <c r="R76" s="12">
        <v>1245.0</v>
      </c>
    </row>
    <row r="77" ht="25.5" customHeight="1">
      <c r="A77" s="13">
        <v>76.0</v>
      </c>
      <c r="B77" s="14" t="s">
        <v>11</v>
      </c>
      <c r="C77" s="15" t="s">
        <v>246</v>
      </c>
      <c r="D77" s="16" t="s">
        <v>306</v>
      </c>
      <c r="E77" s="17" t="s">
        <v>307</v>
      </c>
      <c r="F77" s="18" t="s">
        <v>256</v>
      </c>
      <c r="G77" s="19" t="s">
        <v>308</v>
      </c>
      <c r="H77" s="15" t="str">
        <f>IFERROR(__xludf.DUMMYFUNCTION("split(G77, "" "")"),"I")</f>
        <v>I</v>
      </c>
      <c r="I77" s="15" t="str">
        <f>IFERROR(__xludf.DUMMYFUNCTION("""COMPUTED_VALUE"""),"remember")</f>
        <v>remember</v>
      </c>
      <c r="J77" s="15" t="str">
        <f>IFERROR(__xludf.DUMMYFUNCTION("""COMPUTED_VALUE"""),"our")</f>
        <v>our</v>
      </c>
      <c r="K77" s="15" t="str">
        <f>IFERROR(__xludf.DUMMYFUNCTION("""COMPUTED_VALUE"""),"first")</f>
        <v>first</v>
      </c>
      <c r="L77" s="15" t="str">
        <f>IFERROR(__xludf.DUMMYFUNCTION("""COMPUTED_VALUE"""),"meeting.")</f>
        <v>meeting.</v>
      </c>
      <c r="M77" s="15"/>
      <c r="N77" s="15"/>
      <c r="O77" s="15"/>
      <c r="P77" s="15"/>
      <c r="Q77" s="20">
        <v>4.0</v>
      </c>
      <c r="R77" s="12">
        <v>1245.0</v>
      </c>
    </row>
    <row r="78" ht="25.5" customHeight="1">
      <c r="A78" s="4">
        <v>77.0</v>
      </c>
      <c r="B78" s="5" t="s">
        <v>11</v>
      </c>
      <c r="C78" s="6" t="s">
        <v>246</v>
      </c>
      <c r="D78" s="7" t="s">
        <v>309</v>
      </c>
      <c r="E78" s="8" t="s">
        <v>310</v>
      </c>
      <c r="F78" s="9" t="s">
        <v>311</v>
      </c>
      <c r="G78" s="10" t="s">
        <v>312</v>
      </c>
      <c r="H78" s="6" t="str">
        <f>IFERROR(__xludf.DUMMYFUNCTION("split(G78, "" "")"),"I")</f>
        <v>I</v>
      </c>
      <c r="I78" s="6" t="str">
        <f>IFERROR(__xludf.DUMMYFUNCTION("""COMPUTED_VALUE"""),"thank")</f>
        <v>thank</v>
      </c>
      <c r="J78" s="6" t="str">
        <f>IFERROR(__xludf.DUMMYFUNCTION("""COMPUTED_VALUE"""),"my")</f>
        <v>my</v>
      </c>
      <c r="K78" s="6" t="str">
        <f>IFERROR(__xludf.DUMMYFUNCTION("""COMPUTED_VALUE"""),"parents.")</f>
        <v>parents.</v>
      </c>
      <c r="L78" s="6"/>
      <c r="M78" s="6"/>
      <c r="N78" s="6"/>
      <c r="O78" s="6"/>
      <c r="P78" s="6"/>
      <c r="Q78" s="21">
        <v>3.0</v>
      </c>
      <c r="R78" s="12">
        <v>124.0</v>
      </c>
    </row>
    <row r="79" ht="25.5" customHeight="1">
      <c r="A79" s="13">
        <v>78.0</v>
      </c>
      <c r="B79" s="14" t="s">
        <v>11</v>
      </c>
      <c r="C79" s="15" t="s">
        <v>246</v>
      </c>
      <c r="D79" s="16" t="s">
        <v>313</v>
      </c>
      <c r="E79" s="17" t="s">
        <v>203</v>
      </c>
      <c r="F79" s="18" t="s">
        <v>314</v>
      </c>
      <c r="G79" s="19" t="s">
        <v>315</v>
      </c>
      <c r="H79" s="15" t="str">
        <f>IFERROR(__xludf.DUMMYFUNCTION("split(G79, "" "")"),"My")</f>
        <v>My</v>
      </c>
      <c r="I79" s="15" t="str">
        <f>IFERROR(__xludf.DUMMYFUNCTION("""COMPUTED_VALUE"""),"family")</f>
        <v>family</v>
      </c>
      <c r="J79" s="15" t="str">
        <f>IFERROR(__xludf.DUMMYFUNCTION("""COMPUTED_VALUE"""),"supports")</f>
        <v>supports</v>
      </c>
      <c r="K79" s="15" t="str">
        <f>IFERROR(__xludf.DUMMYFUNCTION("""COMPUTED_VALUE"""),"me.")</f>
        <v>me.</v>
      </c>
      <c r="L79" s="15"/>
      <c r="M79" s="15"/>
      <c r="N79" s="15"/>
      <c r="O79" s="15"/>
      <c r="P79" s="15"/>
      <c r="Q79" s="20">
        <v>3.0</v>
      </c>
      <c r="R79" s="12">
        <v>123.0</v>
      </c>
    </row>
    <row r="80" ht="25.5" customHeight="1">
      <c r="A80" s="4">
        <v>79.0</v>
      </c>
      <c r="B80" s="5" t="s">
        <v>11</v>
      </c>
      <c r="C80" s="6" t="s">
        <v>316</v>
      </c>
      <c r="D80" s="7" t="s">
        <v>317</v>
      </c>
      <c r="E80" s="8" t="s">
        <v>318</v>
      </c>
      <c r="F80" s="9" t="s">
        <v>19</v>
      </c>
      <c r="G80" s="10" t="s">
        <v>319</v>
      </c>
      <c r="H80" s="6" t="str">
        <f>IFERROR(__xludf.DUMMYFUNCTION("split(G80, "" "")"),"I")</f>
        <v>I</v>
      </c>
      <c r="I80" s="6" t="str">
        <f>IFERROR(__xludf.DUMMYFUNCTION("""COMPUTED_VALUE"""),"am")</f>
        <v>am</v>
      </c>
      <c r="J80" s="6" t="str">
        <f>IFERROR(__xludf.DUMMYFUNCTION("""COMPUTED_VALUE"""),"happy")</f>
        <v>happy</v>
      </c>
      <c r="K80" s="6" t="str">
        <f>IFERROR(__xludf.DUMMYFUNCTION("""COMPUTED_VALUE"""),"with")</f>
        <v>with</v>
      </c>
      <c r="L80" s="6" t="str">
        <f>IFERROR(__xludf.DUMMYFUNCTION("""COMPUTED_VALUE"""),"my")</f>
        <v>my</v>
      </c>
      <c r="M80" s="6" t="str">
        <f>IFERROR(__xludf.DUMMYFUNCTION("""COMPUTED_VALUE"""),"friends.")</f>
        <v>friends.</v>
      </c>
      <c r="N80" s="6"/>
      <c r="O80" s="6"/>
      <c r="P80" s="6"/>
      <c r="Q80" s="21">
        <v>3.0</v>
      </c>
      <c r="R80" s="12">
        <v>136.0</v>
      </c>
    </row>
    <row r="81" ht="25.5" customHeight="1">
      <c r="A81" s="13">
        <v>80.0</v>
      </c>
      <c r="B81" s="14" t="s">
        <v>11</v>
      </c>
      <c r="C81" s="15" t="s">
        <v>316</v>
      </c>
      <c r="D81" s="16" t="s">
        <v>320</v>
      </c>
      <c r="E81" s="17" t="s">
        <v>321</v>
      </c>
      <c r="F81" s="18" t="s">
        <v>322</v>
      </c>
      <c r="G81" s="19" t="s">
        <v>323</v>
      </c>
      <c r="H81" s="15" t="str">
        <f>IFERROR(__xludf.DUMMYFUNCTION("split(G81, "" "")"),"She")</f>
        <v>She</v>
      </c>
      <c r="I81" s="15" t="str">
        <f>IFERROR(__xludf.DUMMYFUNCTION("""COMPUTED_VALUE"""),"feels")</f>
        <v>feels</v>
      </c>
      <c r="J81" s="15" t="str">
        <f>IFERROR(__xludf.DUMMYFUNCTION("""COMPUTED_VALUE"""),"sad")</f>
        <v>sad</v>
      </c>
      <c r="K81" s="15" t="str">
        <f>IFERROR(__xludf.DUMMYFUNCTION("""COMPUTED_VALUE"""),"today.")</f>
        <v>today.</v>
      </c>
      <c r="L81" s="15"/>
      <c r="M81" s="15"/>
      <c r="N81" s="15"/>
      <c r="O81" s="15"/>
      <c r="P81" s="15"/>
      <c r="Q81" s="20">
        <v>4.0</v>
      </c>
      <c r="R81" s="12">
        <v>1234.0</v>
      </c>
    </row>
    <row r="82" ht="25.5" customHeight="1">
      <c r="A82" s="4">
        <v>81.0</v>
      </c>
      <c r="B82" s="5" t="s">
        <v>11</v>
      </c>
      <c r="C82" s="6" t="s">
        <v>316</v>
      </c>
      <c r="D82" s="7" t="s">
        <v>324</v>
      </c>
      <c r="E82" s="8" t="s">
        <v>325</v>
      </c>
      <c r="F82" s="9" t="s">
        <v>326</v>
      </c>
      <c r="G82" s="10" t="s">
        <v>327</v>
      </c>
      <c r="H82" s="6" t="str">
        <f>IFERROR(__xludf.DUMMYFUNCTION("split(G82, "" "")"),"He")</f>
        <v>He</v>
      </c>
      <c r="I82" s="6" t="str">
        <f>IFERROR(__xludf.DUMMYFUNCTION("""COMPUTED_VALUE"""),"is")</f>
        <v>is</v>
      </c>
      <c r="J82" s="6" t="str">
        <f>IFERROR(__xludf.DUMMYFUNCTION("""COMPUTED_VALUE"""),"angry")</f>
        <v>angry</v>
      </c>
      <c r="K82" s="6" t="str">
        <f>IFERROR(__xludf.DUMMYFUNCTION("""COMPUTED_VALUE"""),"with")</f>
        <v>with</v>
      </c>
      <c r="L82" s="6" t="str">
        <f>IFERROR(__xludf.DUMMYFUNCTION("""COMPUTED_VALUE"""),"me.")</f>
        <v>me.</v>
      </c>
      <c r="M82" s="6"/>
      <c r="N82" s="6"/>
      <c r="O82" s="6"/>
      <c r="P82" s="6"/>
      <c r="Q82" s="21">
        <v>2.0</v>
      </c>
      <c r="R82" s="12">
        <v>13.0</v>
      </c>
    </row>
    <row r="83" ht="25.5" customHeight="1">
      <c r="A83" s="13">
        <v>82.0</v>
      </c>
      <c r="B83" s="14" t="s">
        <v>11</v>
      </c>
      <c r="C83" s="15" t="s">
        <v>316</v>
      </c>
      <c r="D83" s="16" t="s">
        <v>328</v>
      </c>
      <c r="E83" s="17" t="s">
        <v>329</v>
      </c>
      <c r="F83" s="18" t="s">
        <v>330</v>
      </c>
      <c r="G83" s="19" t="s">
        <v>331</v>
      </c>
      <c r="H83" s="15" t="str">
        <f>IFERROR(__xludf.DUMMYFUNCTION("split(G83, "" "")"),"The")</f>
        <v>The</v>
      </c>
      <c r="I83" s="15" t="str">
        <f>IFERROR(__xludf.DUMMYFUNCTION("""COMPUTED_VALUE"""),"child")</f>
        <v>child</v>
      </c>
      <c r="J83" s="15" t="str">
        <f>IFERROR(__xludf.DUMMYFUNCTION("""COMPUTED_VALUE"""),"is")</f>
        <v>is</v>
      </c>
      <c r="K83" s="15" t="str">
        <f>IFERROR(__xludf.DUMMYFUNCTION("""COMPUTED_VALUE"""),"afraid")</f>
        <v>afraid</v>
      </c>
      <c r="L83" s="15" t="str">
        <f>IFERROR(__xludf.DUMMYFUNCTION("""COMPUTED_VALUE"""),"of")</f>
        <v>of</v>
      </c>
      <c r="M83" s="15" t="str">
        <f>IFERROR(__xludf.DUMMYFUNCTION("""COMPUTED_VALUE"""),"the")</f>
        <v>the</v>
      </c>
      <c r="N83" s="15" t="str">
        <f>IFERROR(__xludf.DUMMYFUNCTION("""COMPUTED_VALUE"""),"dark.")</f>
        <v>dark.</v>
      </c>
      <c r="O83" s="15"/>
      <c r="P83" s="15"/>
      <c r="Q83" s="20">
        <v>4.0</v>
      </c>
      <c r="R83" s="12">
        <v>1247.0</v>
      </c>
    </row>
    <row r="84" ht="25.5" customHeight="1">
      <c r="A84" s="4">
        <v>83.0</v>
      </c>
      <c r="B84" s="5" t="s">
        <v>11</v>
      </c>
      <c r="C84" s="6" t="s">
        <v>316</v>
      </c>
      <c r="D84" s="7" t="s">
        <v>332</v>
      </c>
      <c r="E84" s="8" t="s">
        <v>333</v>
      </c>
      <c r="F84" s="9" t="s">
        <v>334</v>
      </c>
      <c r="G84" s="10" t="s">
        <v>335</v>
      </c>
      <c r="H84" s="6" t="str">
        <f>IFERROR(__xludf.DUMMYFUNCTION("split(G84, "" "")"),"Old")</f>
        <v>Old</v>
      </c>
      <c r="I84" s="6" t="str">
        <f>IFERROR(__xludf.DUMMYFUNCTION("""COMPUTED_VALUE"""),"people")</f>
        <v>people</v>
      </c>
      <c r="J84" s="6" t="str">
        <f>IFERROR(__xludf.DUMMYFUNCTION("""COMPUTED_VALUE"""),"can")</f>
        <v>can</v>
      </c>
      <c r="K84" s="6" t="str">
        <f>IFERROR(__xludf.DUMMYFUNCTION("""COMPUTED_VALUE"""),"feel")</f>
        <v>feel</v>
      </c>
      <c r="L84" s="6" t="str">
        <f>IFERROR(__xludf.DUMMYFUNCTION("""COMPUTED_VALUE"""),"lonely.")</f>
        <v>lonely.</v>
      </c>
      <c r="M84" s="6"/>
      <c r="N84" s="6"/>
      <c r="O84" s="6"/>
      <c r="P84" s="6"/>
      <c r="Q84" s="21">
        <v>4.0</v>
      </c>
      <c r="R84" s="12">
        <v>1245.0</v>
      </c>
    </row>
    <row r="85" ht="25.5" customHeight="1">
      <c r="A85" s="13">
        <v>84.0</v>
      </c>
      <c r="B85" s="14" t="s">
        <v>11</v>
      </c>
      <c r="C85" s="15" t="s">
        <v>316</v>
      </c>
      <c r="D85" s="16" t="s">
        <v>336</v>
      </c>
      <c r="E85" s="17" t="s">
        <v>337</v>
      </c>
      <c r="F85" s="18" t="s">
        <v>338</v>
      </c>
      <c r="G85" s="19" t="s">
        <v>339</v>
      </c>
      <c r="H85" s="15" t="str">
        <f>IFERROR(__xludf.DUMMYFUNCTION("split(G85, "" "")"),"I")</f>
        <v>I</v>
      </c>
      <c r="I85" s="15" t="str">
        <f>IFERROR(__xludf.DUMMYFUNCTION("""COMPUTED_VALUE"""),"am")</f>
        <v>am</v>
      </c>
      <c r="J85" s="15" t="str">
        <f>IFERROR(__xludf.DUMMYFUNCTION("""COMPUTED_VALUE"""),"excited")</f>
        <v>excited</v>
      </c>
      <c r="K85" s="15" t="str">
        <f>IFERROR(__xludf.DUMMYFUNCTION("""COMPUTED_VALUE"""),"to")</f>
        <v>to</v>
      </c>
      <c r="L85" s="15" t="str">
        <f>IFERROR(__xludf.DUMMYFUNCTION("""COMPUTED_VALUE"""),"meet")</f>
        <v>meet</v>
      </c>
      <c r="M85" s="15" t="str">
        <f>IFERROR(__xludf.DUMMYFUNCTION("""COMPUTED_VALUE"""),"her.")</f>
        <v>her.</v>
      </c>
      <c r="N85" s="15"/>
      <c r="O85" s="15"/>
      <c r="P85" s="15"/>
      <c r="Q85" s="20">
        <v>3.0</v>
      </c>
      <c r="R85" s="12">
        <v>135.0</v>
      </c>
    </row>
    <row r="86" ht="25.5" customHeight="1">
      <c r="A86" s="4">
        <v>85.0</v>
      </c>
      <c r="B86" s="5" t="s">
        <v>11</v>
      </c>
      <c r="C86" s="6" t="s">
        <v>316</v>
      </c>
      <c r="D86" s="7" t="s">
        <v>340</v>
      </c>
      <c r="E86" s="8" t="s">
        <v>341</v>
      </c>
      <c r="F86" s="9" t="s">
        <v>342</v>
      </c>
      <c r="G86" s="10" t="s">
        <v>343</v>
      </c>
      <c r="H86" s="6" t="str">
        <f>IFERROR(__xludf.DUMMYFUNCTION("split(G86, "" "")"),"His")</f>
        <v>His</v>
      </c>
      <c r="I86" s="6" t="str">
        <f>IFERROR(__xludf.DUMMYFUNCTION("""COMPUTED_VALUE"""),"voice")</f>
        <v>voice</v>
      </c>
      <c r="J86" s="6" t="str">
        <f>IFERROR(__xludf.DUMMYFUNCTION("""COMPUTED_VALUE"""),"is")</f>
        <v>is</v>
      </c>
      <c r="K86" s="6" t="str">
        <f>IFERROR(__xludf.DUMMYFUNCTION("""COMPUTED_VALUE"""),"calm.")</f>
        <v>calm.</v>
      </c>
      <c r="L86" s="6"/>
      <c r="M86" s="6"/>
      <c r="N86" s="6"/>
      <c r="O86" s="6"/>
      <c r="P86" s="6"/>
      <c r="Q86" s="21">
        <v>3.0</v>
      </c>
      <c r="R86" s="12">
        <v>124.0</v>
      </c>
    </row>
    <row r="87" ht="25.5" customHeight="1">
      <c r="A87" s="13">
        <v>86.0</v>
      </c>
      <c r="B87" s="14" t="s">
        <v>11</v>
      </c>
      <c r="C87" s="15" t="s">
        <v>316</v>
      </c>
      <c r="D87" s="16" t="s">
        <v>344</v>
      </c>
      <c r="E87" s="17" t="s">
        <v>345</v>
      </c>
      <c r="F87" s="18" t="s">
        <v>346</v>
      </c>
      <c r="G87" s="19" t="s">
        <v>347</v>
      </c>
      <c r="H87" s="15" t="str">
        <f>IFERROR(__xludf.DUMMYFUNCTION("split(G87, "" "")"),"She")</f>
        <v>She</v>
      </c>
      <c r="I87" s="15" t="str">
        <f>IFERROR(__xludf.DUMMYFUNCTION("""COMPUTED_VALUE"""),"is")</f>
        <v>is</v>
      </c>
      <c r="J87" s="15" t="str">
        <f>IFERROR(__xludf.DUMMYFUNCTION("""COMPUTED_VALUE"""),"nervous")</f>
        <v>nervous</v>
      </c>
      <c r="K87" s="15" t="str">
        <f>IFERROR(__xludf.DUMMYFUNCTION("""COMPUTED_VALUE"""),"before")</f>
        <v>before</v>
      </c>
      <c r="L87" s="15" t="str">
        <f>IFERROR(__xludf.DUMMYFUNCTION("""COMPUTED_VALUE"""),"the")</f>
        <v>the</v>
      </c>
      <c r="M87" s="15" t="str">
        <f>IFERROR(__xludf.DUMMYFUNCTION("""COMPUTED_VALUE"""),"date.")</f>
        <v>date.</v>
      </c>
      <c r="N87" s="15"/>
      <c r="O87" s="15"/>
      <c r="P87" s="15"/>
      <c r="Q87" s="20">
        <v>3.0</v>
      </c>
      <c r="R87" s="12">
        <v>136.0</v>
      </c>
    </row>
    <row r="88" ht="25.5" customHeight="1">
      <c r="A88" s="4">
        <v>87.0</v>
      </c>
      <c r="B88" s="5" t="s">
        <v>11</v>
      </c>
      <c r="C88" s="6" t="s">
        <v>316</v>
      </c>
      <c r="D88" s="7" t="s">
        <v>348</v>
      </c>
      <c r="E88" s="8" t="s">
        <v>349</v>
      </c>
      <c r="F88" s="9" t="s">
        <v>350</v>
      </c>
      <c r="G88" s="10" t="s">
        <v>351</v>
      </c>
      <c r="H88" s="6" t="str">
        <f>IFERROR(__xludf.DUMMYFUNCTION("split(G88, "" "")"),"My")</f>
        <v>My</v>
      </c>
      <c r="I88" s="6" t="str">
        <f>IFERROR(__xludf.DUMMYFUNCTION("""COMPUTED_VALUE"""),"parents")</f>
        <v>parents</v>
      </c>
      <c r="J88" s="6" t="str">
        <f>IFERROR(__xludf.DUMMYFUNCTION("""COMPUTED_VALUE"""),"are")</f>
        <v>are</v>
      </c>
      <c r="K88" s="6" t="str">
        <f>IFERROR(__xludf.DUMMYFUNCTION("""COMPUTED_VALUE"""),"proud")</f>
        <v>proud</v>
      </c>
      <c r="L88" s="6" t="str">
        <f>IFERROR(__xludf.DUMMYFUNCTION("""COMPUTED_VALUE"""),"of")</f>
        <v>of</v>
      </c>
      <c r="M88" s="6" t="str">
        <f>IFERROR(__xludf.DUMMYFUNCTION("""COMPUTED_VALUE"""),"me.")</f>
        <v>me.</v>
      </c>
      <c r="N88" s="6"/>
      <c r="O88" s="6"/>
      <c r="P88" s="6"/>
      <c r="Q88" s="21">
        <v>3.0</v>
      </c>
      <c r="R88" s="12">
        <v>124.0</v>
      </c>
    </row>
    <row r="89" ht="25.5" customHeight="1">
      <c r="A89" s="13">
        <v>88.0</v>
      </c>
      <c r="B89" s="14" t="s">
        <v>11</v>
      </c>
      <c r="C89" s="15" t="s">
        <v>316</v>
      </c>
      <c r="D89" s="16" t="s">
        <v>352</v>
      </c>
      <c r="E89" s="17" t="s">
        <v>353</v>
      </c>
      <c r="F89" s="18" t="s">
        <v>354</v>
      </c>
      <c r="G89" s="19" t="s">
        <v>355</v>
      </c>
      <c r="H89" s="15" t="str">
        <f>IFERROR(__xludf.DUMMYFUNCTION("split(G89, "" "")"),"A")</f>
        <v>A</v>
      </c>
      <c r="I89" s="15" t="str">
        <f>IFERROR(__xludf.DUMMYFUNCTION("""COMPUTED_VALUE"""),"kind")</f>
        <v>kind</v>
      </c>
      <c r="J89" s="15" t="str">
        <f>IFERROR(__xludf.DUMMYFUNCTION("""COMPUTED_VALUE"""),"friend")</f>
        <v>friend</v>
      </c>
      <c r="K89" s="15" t="str">
        <f>IFERROR(__xludf.DUMMYFUNCTION("""COMPUTED_VALUE"""),"helps")</f>
        <v>helps</v>
      </c>
      <c r="L89" s="15" t="str">
        <f>IFERROR(__xludf.DUMMYFUNCTION("""COMPUTED_VALUE"""),"you.")</f>
        <v>you.</v>
      </c>
      <c r="M89" s="15"/>
      <c r="N89" s="15"/>
      <c r="O89" s="15"/>
      <c r="P89" s="15"/>
      <c r="Q89" s="20">
        <v>4.0</v>
      </c>
      <c r="R89" s="12">
        <v>1234.0</v>
      </c>
    </row>
    <row r="90" ht="25.5" customHeight="1">
      <c r="A90" s="4">
        <v>89.0</v>
      </c>
      <c r="B90" s="5" t="s">
        <v>11</v>
      </c>
      <c r="C90" s="6" t="s">
        <v>316</v>
      </c>
      <c r="D90" s="7" t="s">
        <v>356</v>
      </c>
      <c r="E90" s="8" t="s">
        <v>357</v>
      </c>
      <c r="F90" s="9" t="s">
        <v>358</v>
      </c>
      <c r="G90" s="10" t="s">
        <v>359</v>
      </c>
      <c r="H90" s="6" t="str">
        <f>IFERROR(__xludf.DUMMYFUNCTION("split(G90, "" "")"),"She")</f>
        <v>She</v>
      </c>
      <c r="I90" s="6" t="str">
        <f>IFERROR(__xludf.DUMMYFUNCTION("""COMPUTED_VALUE"""),"is")</f>
        <v>is</v>
      </c>
      <c r="J90" s="6" t="str">
        <f>IFERROR(__xludf.DUMMYFUNCTION("""COMPUTED_VALUE"""),"friendly")</f>
        <v>friendly</v>
      </c>
      <c r="K90" s="6" t="str">
        <f>IFERROR(__xludf.DUMMYFUNCTION("""COMPUTED_VALUE"""),"and")</f>
        <v>and</v>
      </c>
      <c r="L90" s="6" t="str">
        <f>IFERROR(__xludf.DUMMYFUNCTION("""COMPUTED_VALUE"""),"warm.")</f>
        <v>warm.</v>
      </c>
      <c r="M90" s="6"/>
      <c r="N90" s="6"/>
      <c r="O90" s="6"/>
      <c r="P90" s="6"/>
      <c r="Q90" s="21">
        <v>3.0</v>
      </c>
      <c r="R90" s="12">
        <v>135.0</v>
      </c>
    </row>
    <row r="91" ht="25.5" customHeight="1">
      <c r="A91" s="13">
        <v>90.0</v>
      </c>
      <c r="B91" s="14" t="s">
        <v>11</v>
      </c>
      <c r="C91" s="15" t="s">
        <v>316</v>
      </c>
      <c r="D91" s="16" t="s">
        <v>360</v>
      </c>
      <c r="E91" s="17" t="s">
        <v>361</v>
      </c>
      <c r="F91" s="18" t="s">
        <v>362</v>
      </c>
      <c r="G91" s="19" t="s">
        <v>363</v>
      </c>
      <c r="H91" s="15" t="str">
        <f>IFERROR(__xludf.DUMMYFUNCTION("split(G91, "" "")"),"An")</f>
        <v>An</v>
      </c>
      <c r="I91" s="15" t="str">
        <f>IFERROR(__xludf.DUMMYFUNCTION("""COMPUTED_VALUE"""),"honest")</f>
        <v>honest</v>
      </c>
      <c r="J91" s="15" t="str">
        <f>IFERROR(__xludf.DUMMYFUNCTION("""COMPUTED_VALUE"""),"person")</f>
        <v>person</v>
      </c>
      <c r="K91" s="15" t="str">
        <f>IFERROR(__xludf.DUMMYFUNCTION("""COMPUTED_VALUE"""),"tells")</f>
        <v>tells</v>
      </c>
      <c r="L91" s="15" t="str">
        <f>IFERROR(__xludf.DUMMYFUNCTION("""COMPUTED_VALUE"""),"the")</f>
        <v>the</v>
      </c>
      <c r="M91" s="15" t="str">
        <f>IFERROR(__xludf.DUMMYFUNCTION("""COMPUTED_VALUE"""),"truth.")</f>
        <v>truth.</v>
      </c>
      <c r="N91" s="15"/>
      <c r="O91" s="15"/>
      <c r="P91" s="15"/>
      <c r="Q91" s="20">
        <v>5.0</v>
      </c>
      <c r="R91" s="12">
        <v>12346.0</v>
      </c>
    </row>
    <row r="92" ht="25.5" customHeight="1">
      <c r="A92" s="4">
        <v>91.0</v>
      </c>
      <c r="B92" s="5" t="s">
        <v>11</v>
      </c>
      <c r="C92" s="6" t="s">
        <v>316</v>
      </c>
      <c r="D92" s="7" t="s">
        <v>364</v>
      </c>
      <c r="E92" s="8" t="s">
        <v>365</v>
      </c>
      <c r="F92" s="9" t="s">
        <v>366</v>
      </c>
      <c r="G92" s="10" t="s">
        <v>367</v>
      </c>
      <c r="H92" s="6" t="str">
        <f>IFERROR(__xludf.DUMMYFUNCTION("split(G92, "" "")"),"I")</f>
        <v>I</v>
      </c>
      <c r="I92" s="6" t="str">
        <f>IFERROR(__xludf.DUMMYFUNCTION("""COMPUTED_VALUE"""),"am")</f>
        <v>am</v>
      </c>
      <c r="J92" s="6" t="str">
        <f>IFERROR(__xludf.DUMMYFUNCTION("""COMPUTED_VALUE"""),"sorry")</f>
        <v>sorry</v>
      </c>
      <c r="K92" s="6" t="str">
        <f>IFERROR(__xludf.DUMMYFUNCTION("""COMPUTED_VALUE"""),"for")</f>
        <v>for</v>
      </c>
      <c r="L92" s="6" t="str">
        <f>IFERROR(__xludf.DUMMYFUNCTION("""COMPUTED_VALUE"""),"my")</f>
        <v>my</v>
      </c>
      <c r="M92" s="6" t="str">
        <f>IFERROR(__xludf.DUMMYFUNCTION("""COMPUTED_VALUE"""),"mistake.")</f>
        <v>mistake.</v>
      </c>
      <c r="N92" s="6"/>
      <c r="O92" s="6"/>
      <c r="P92" s="6"/>
      <c r="Q92" s="21">
        <v>3.0</v>
      </c>
      <c r="R92" s="12">
        <v>136.0</v>
      </c>
    </row>
    <row r="93" ht="25.5" customHeight="1">
      <c r="A93" s="13">
        <v>92.0</v>
      </c>
      <c r="B93" s="14" t="s">
        <v>11</v>
      </c>
      <c r="C93" s="15" t="s">
        <v>316</v>
      </c>
      <c r="D93" s="16" t="s">
        <v>368</v>
      </c>
      <c r="E93" s="17" t="s">
        <v>369</v>
      </c>
      <c r="F93" s="18" t="s">
        <v>370</v>
      </c>
      <c r="G93" s="19" t="s">
        <v>371</v>
      </c>
      <c r="H93" s="15" t="str">
        <f>IFERROR(__xludf.DUMMYFUNCTION("split(G93, "" "")"),"That")</f>
        <v>That</v>
      </c>
      <c r="I93" s="15" t="str">
        <f>IFERROR(__xludf.DUMMYFUNCTION("""COMPUTED_VALUE"""),"is")</f>
        <v>is</v>
      </c>
      <c r="J93" s="15" t="str">
        <f>IFERROR(__xludf.DUMMYFUNCTION("""COMPUTED_VALUE"""),"a")</f>
        <v>a</v>
      </c>
      <c r="K93" s="15" t="str">
        <f>IFERROR(__xludf.DUMMYFUNCTION("""COMPUTED_VALUE"""),"sweet")</f>
        <v>sweet</v>
      </c>
      <c r="L93" s="15" t="str">
        <f>IFERROR(__xludf.DUMMYFUNCTION("""COMPUTED_VALUE"""),"message.")</f>
        <v>message.</v>
      </c>
      <c r="M93" s="15"/>
      <c r="N93" s="15"/>
      <c r="O93" s="15"/>
      <c r="P93" s="15"/>
      <c r="Q93" s="20">
        <v>3.0</v>
      </c>
      <c r="R93" s="12">
        <v>145.0</v>
      </c>
    </row>
    <row r="94" ht="25.5" customHeight="1">
      <c r="A94" s="4">
        <v>93.0</v>
      </c>
      <c r="B94" s="5" t="s">
        <v>11</v>
      </c>
      <c r="C94" s="6" t="s">
        <v>316</v>
      </c>
      <c r="D94" s="7" t="s">
        <v>372</v>
      </c>
      <c r="E94" s="8" t="s">
        <v>373</v>
      </c>
      <c r="F94" s="9" t="s">
        <v>374</v>
      </c>
      <c r="G94" s="10" t="s">
        <v>375</v>
      </c>
      <c r="H94" s="6" t="str">
        <f>IFERROR(__xludf.DUMMYFUNCTION("split(G94, "" "")"),"She")</f>
        <v>She</v>
      </c>
      <c r="I94" s="6" t="str">
        <f>IFERROR(__xludf.DUMMYFUNCTION("""COMPUTED_VALUE"""),"has")</f>
        <v>has</v>
      </c>
      <c r="J94" s="6" t="str">
        <f>IFERROR(__xludf.DUMMYFUNCTION("""COMPUTED_VALUE"""),"a")</f>
        <v>a</v>
      </c>
      <c r="K94" s="6" t="str">
        <f>IFERROR(__xludf.DUMMYFUNCTION("""COMPUTED_VALUE"""),"lovely")</f>
        <v>lovely</v>
      </c>
      <c r="L94" s="6" t="str">
        <f>IFERROR(__xludf.DUMMYFUNCTION("""COMPUTED_VALUE"""),"smile.")</f>
        <v>smile.</v>
      </c>
      <c r="M94" s="6"/>
      <c r="N94" s="6"/>
      <c r="O94" s="6"/>
      <c r="P94" s="6"/>
      <c r="Q94" s="21">
        <v>3.0</v>
      </c>
      <c r="R94" s="12">
        <v>145.0</v>
      </c>
    </row>
    <row r="95" ht="25.5" customHeight="1">
      <c r="A95" s="13">
        <v>94.0</v>
      </c>
      <c r="B95" s="14" t="s">
        <v>11</v>
      </c>
      <c r="C95" s="15" t="s">
        <v>316</v>
      </c>
      <c r="D95" s="16" t="s">
        <v>376</v>
      </c>
      <c r="E95" s="17" t="s">
        <v>377</v>
      </c>
      <c r="F95" s="18" t="s">
        <v>378</v>
      </c>
      <c r="G95" s="22" t="s">
        <v>379</v>
      </c>
      <c r="H95" s="15" t="str">
        <f>IFERROR(__xludf.DUMMYFUNCTION("split(G95, "" "")"),"Their")</f>
        <v>Their</v>
      </c>
      <c r="I95" s="15" t="str">
        <f>IFERROR(__xludf.DUMMYFUNCTION("""COMPUTED_VALUE"""),"love")</f>
        <v>love</v>
      </c>
      <c r="J95" s="15" t="str">
        <f>IFERROR(__xludf.DUMMYFUNCTION("""COMPUTED_VALUE"""),"is")</f>
        <v>is</v>
      </c>
      <c r="K95" s="15" t="str">
        <f>IFERROR(__xludf.DUMMYFUNCTION("""COMPUTED_VALUE"""),"strong.")</f>
        <v>strong.</v>
      </c>
      <c r="L95" s="15"/>
      <c r="M95" s="15"/>
      <c r="N95" s="15"/>
      <c r="O95" s="15"/>
      <c r="P95" s="15"/>
      <c r="Q95" s="20">
        <v>3.0</v>
      </c>
      <c r="R95" s="12">
        <v>124.0</v>
      </c>
    </row>
    <row r="96" ht="25.5" customHeight="1">
      <c r="A96" s="4">
        <v>95.0</v>
      </c>
      <c r="B96" s="5" t="s">
        <v>11</v>
      </c>
      <c r="C96" s="6" t="s">
        <v>316</v>
      </c>
      <c r="D96" s="7" t="s">
        <v>380</v>
      </c>
      <c r="E96" s="8" t="s">
        <v>381</v>
      </c>
      <c r="F96" s="9" t="s">
        <v>382</v>
      </c>
      <c r="G96" s="10" t="s">
        <v>383</v>
      </c>
      <c r="H96" s="6" t="str">
        <f>IFERROR(__xludf.DUMMYFUNCTION("split(G96, "" "")"),"We")</f>
        <v>We</v>
      </c>
      <c r="I96" s="6" t="str">
        <f>IFERROR(__xludf.DUMMYFUNCTION("""COMPUTED_VALUE"""),"are")</f>
        <v>are</v>
      </c>
      <c r="J96" s="6" t="str">
        <f>IFERROR(__xludf.DUMMYFUNCTION("""COMPUTED_VALUE"""),"close")</f>
        <v>close</v>
      </c>
      <c r="K96" s="6" t="str">
        <f>IFERROR(__xludf.DUMMYFUNCTION("""COMPUTED_VALUE"""),"friends.")</f>
        <v>friends.</v>
      </c>
      <c r="L96" s="6"/>
      <c r="M96" s="6"/>
      <c r="N96" s="6"/>
      <c r="O96" s="6"/>
      <c r="P96" s="6"/>
      <c r="Q96" s="21">
        <v>3.0</v>
      </c>
      <c r="R96" s="12">
        <v>134.0</v>
      </c>
    </row>
    <row r="97" ht="25.5" customHeight="1">
      <c r="A97" s="13">
        <v>96.0</v>
      </c>
      <c r="B97" s="14" t="s">
        <v>11</v>
      </c>
      <c r="C97" s="15" t="s">
        <v>316</v>
      </c>
      <c r="D97" s="16" t="s">
        <v>384</v>
      </c>
      <c r="E97" s="17" t="s">
        <v>385</v>
      </c>
      <c r="F97" s="18" t="s">
        <v>386</v>
      </c>
      <c r="G97" s="19" t="s">
        <v>387</v>
      </c>
      <c r="H97" s="15" t="str">
        <f>IFERROR(__xludf.DUMMYFUNCTION("split(G97, "" "")"),"He")</f>
        <v>He</v>
      </c>
      <c r="I97" s="15" t="str">
        <f>IFERROR(__xludf.DUMMYFUNCTION("""COMPUTED_VALUE"""),"is")</f>
        <v>is</v>
      </c>
      <c r="J97" s="15" t="str">
        <f>IFERROR(__xludf.DUMMYFUNCTION("""COMPUTED_VALUE"""),"shy")</f>
        <v>shy</v>
      </c>
      <c r="K97" s="15" t="str">
        <f>IFERROR(__xludf.DUMMYFUNCTION("""COMPUTED_VALUE"""),"with")</f>
        <v>with</v>
      </c>
      <c r="L97" s="15" t="str">
        <f>IFERROR(__xludf.DUMMYFUNCTION("""COMPUTED_VALUE"""),"new")</f>
        <v>new</v>
      </c>
      <c r="M97" s="15" t="str">
        <f>IFERROR(__xludf.DUMMYFUNCTION("""COMPUTED_VALUE"""),"people.")</f>
        <v>people.</v>
      </c>
      <c r="N97" s="15"/>
      <c r="O97" s="15"/>
      <c r="P97" s="15"/>
      <c r="Q97" s="20">
        <v>4.0</v>
      </c>
      <c r="R97" s="12">
        <v>1356.0</v>
      </c>
    </row>
    <row r="98" ht="25.5" customHeight="1">
      <c r="A98" s="4">
        <v>97.0</v>
      </c>
      <c r="B98" s="5" t="s">
        <v>11</v>
      </c>
      <c r="C98" s="6" t="s">
        <v>316</v>
      </c>
      <c r="D98" s="7" t="s">
        <v>388</v>
      </c>
      <c r="E98" s="8" t="s">
        <v>389</v>
      </c>
      <c r="F98" s="9" t="s">
        <v>390</v>
      </c>
      <c r="G98" s="10" t="s">
        <v>391</v>
      </c>
      <c r="H98" s="6" t="str">
        <f>IFERROR(__xludf.DUMMYFUNCTION("split(G98, "" "")"),"She")</f>
        <v>She</v>
      </c>
      <c r="I98" s="6" t="str">
        <f>IFERROR(__xludf.DUMMYFUNCTION("""COMPUTED_VALUE"""),"is")</f>
        <v>is</v>
      </c>
      <c r="J98" s="6" t="str">
        <f>IFERROR(__xludf.DUMMYFUNCTION("""COMPUTED_VALUE"""),"brave")</f>
        <v>brave</v>
      </c>
      <c r="K98" s="6" t="str">
        <f>IFERROR(__xludf.DUMMYFUNCTION("""COMPUTED_VALUE"""),"and")</f>
        <v>and</v>
      </c>
      <c r="L98" s="6" t="str">
        <f>IFERROR(__xludf.DUMMYFUNCTION("""COMPUTED_VALUE"""),"honest.")</f>
        <v>honest.</v>
      </c>
      <c r="M98" s="6"/>
      <c r="N98" s="6"/>
      <c r="O98" s="6"/>
      <c r="P98" s="6"/>
      <c r="Q98" s="21">
        <v>3.0</v>
      </c>
      <c r="R98" s="12">
        <v>135.0</v>
      </c>
    </row>
    <row r="99" ht="25.5" customHeight="1">
      <c r="A99" s="13">
        <v>98.0</v>
      </c>
      <c r="B99" s="14" t="s">
        <v>11</v>
      </c>
      <c r="C99" s="15" t="s">
        <v>316</v>
      </c>
      <c r="D99" s="16" t="s">
        <v>392</v>
      </c>
      <c r="E99" s="17" t="s">
        <v>393</v>
      </c>
      <c r="F99" s="18" t="s">
        <v>394</v>
      </c>
      <c r="G99" s="19" t="s">
        <v>395</v>
      </c>
      <c r="H99" s="15" t="str">
        <f>IFERROR(__xludf.DUMMYFUNCTION("split(G99, "" "")"),"I")</f>
        <v>I</v>
      </c>
      <c r="I99" s="15" t="str">
        <f>IFERROR(__xludf.DUMMYFUNCTION("""COMPUTED_VALUE"""),"am")</f>
        <v>am</v>
      </c>
      <c r="J99" s="15" t="str">
        <f>IFERROR(__xludf.DUMMYFUNCTION("""COMPUTED_VALUE"""),"thankful")</f>
        <v>thankful</v>
      </c>
      <c r="K99" s="15" t="str">
        <f>IFERROR(__xludf.DUMMYFUNCTION("""COMPUTED_VALUE"""),"for")</f>
        <v>for</v>
      </c>
      <c r="L99" s="15" t="str">
        <f>IFERROR(__xludf.DUMMYFUNCTION("""COMPUTED_VALUE"""),"your")</f>
        <v>your</v>
      </c>
      <c r="M99" s="15" t="str">
        <f>IFERROR(__xludf.DUMMYFUNCTION("""COMPUTED_VALUE"""),"help.")</f>
        <v>help.</v>
      </c>
      <c r="N99" s="15"/>
      <c r="O99" s="15"/>
      <c r="P99" s="15"/>
      <c r="Q99" s="20">
        <v>3.0</v>
      </c>
      <c r="R99" s="12">
        <v>136.0</v>
      </c>
    </row>
    <row r="100" ht="15.75" customHeight="1">
      <c r="Q100" s="23"/>
      <c r="R100" s="23"/>
    </row>
    <row r="101" ht="15.75" customHeight="1">
      <c r="Q101" s="23"/>
      <c r="R101" s="23"/>
    </row>
    <row r="102" ht="15.75" customHeight="1">
      <c r="Q102" s="23"/>
      <c r="R102" s="23"/>
    </row>
    <row r="103" ht="15.75" customHeight="1">
      <c r="Q103" s="23"/>
      <c r="R103" s="23"/>
    </row>
    <row r="104" ht="15.75" customHeight="1">
      <c r="Q104" s="23"/>
      <c r="R104" s="23"/>
    </row>
    <row r="105" ht="15.75" customHeight="1">
      <c r="Q105" s="23"/>
      <c r="R105" s="23"/>
    </row>
    <row r="106" ht="15.75" customHeight="1">
      <c r="Q106" s="23"/>
      <c r="R106" s="23"/>
    </row>
    <row r="107" ht="15.75" customHeight="1">
      <c r="Q107" s="23"/>
      <c r="R107" s="23"/>
    </row>
    <row r="108" ht="15.75" customHeight="1">
      <c r="Q108" s="23"/>
      <c r="R108" s="23"/>
    </row>
    <row r="109" ht="15.75" customHeight="1">
      <c r="Q109" s="23"/>
      <c r="R109" s="23"/>
    </row>
    <row r="110" ht="15.75" customHeight="1">
      <c r="Q110" s="23"/>
      <c r="R110" s="23"/>
    </row>
    <row r="111" ht="15.75" customHeight="1">
      <c r="Q111" s="23"/>
      <c r="R111" s="23"/>
    </row>
    <row r="112" ht="15.75" customHeight="1">
      <c r="Q112" s="23"/>
      <c r="R112" s="23"/>
    </row>
    <row r="113" ht="15.75" customHeight="1">
      <c r="Q113" s="23"/>
      <c r="R113" s="23"/>
    </row>
    <row r="114" ht="15.75" customHeight="1">
      <c r="Q114" s="23"/>
      <c r="R114" s="23"/>
    </row>
    <row r="115" ht="15.75" customHeight="1">
      <c r="Q115" s="23"/>
      <c r="R115" s="23"/>
    </row>
    <row r="116" ht="15.75" customHeight="1">
      <c r="Q116" s="23"/>
      <c r="R116" s="23"/>
    </row>
    <row r="117" ht="15.75" customHeight="1">
      <c r="Q117" s="23"/>
      <c r="R117" s="23"/>
    </row>
    <row r="118" ht="15.75" customHeight="1">
      <c r="Q118" s="23"/>
      <c r="R118" s="23"/>
    </row>
    <row r="119" ht="15.75" customHeight="1">
      <c r="Q119" s="23"/>
      <c r="R119" s="23"/>
    </row>
    <row r="120" ht="15.75" customHeight="1">
      <c r="Q120" s="23"/>
      <c r="R120" s="23"/>
    </row>
    <row r="121" ht="15.75" customHeight="1">
      <c r="Q121" s="23"/>
      <c r="R121" s="23"/>
    </row>
    <row r="122" ht="15.75" customHeight="1">
      <c r="Q122" s="23"/>
      <c r="R122" s="23"/>
    </row>
    <row r="123" ht="15.75" customHeight="1">
      <c r="Q123" s="23"/>
      <c r="R123" s="23"/>
    </row>
    <row r="124" ht="15.75" customHeight="1">
      <c r="Q124" s="23"/>
      <c r="R124" s="23"/>
    </row>
    <row r="125" ht="15.75" customHeight="1">
      <c r="Q125" s="23"/>
      <c r="R125" s="23"/>
    </row>
    <row r="126" ht="15.75" customHeight="1">
      <c r="Q126" s="23"/>
      <c r="R126" s="23"/>
    </row>
    <row r="127" ht="15.75" customHeight="1">
      <c r="Q127" s="23"/>
      <c r="R127" s="23"/>
    </row>
    <row r="128" ht="15.75" customHeight="1">
      <c r="Q128" s="23"/>
      <c r="R128" s="23"/>
    </row>
    <row r="129" ht="15.75" customHeight="1">
      <c r="Q129" s="23"/>
      <c r="R129" s="23"/>
    </row>
    <row r="130" ht="15.75" customHeight="1">
      <c r="Q130" s="23"/>
      <c r="R130" s="23"/>
    </row>
    <row r="131" ht="15.75" customHeight="1">
      <c r="Q131" s="23"/>
      <c r="R131" s="23"/>
    </row>
    <row r="132" ht="15.75" customHeight="1">
      <c r="Q132" s="23"/>
      <c r="R132" s="23"/>
    </row>
    <row r="133" ht="15.75" customHeight="1">
      <c r="Q133" s="23"/>
      <c r="R133" s="23"/>
    </row>
    <row r="134" ht="15.75" customHeight="1">
      <c r="Q134" s="23"/>
      <c r="R134" s="23"/>
    </row>
    <row r="135" ht="15.75" customHeight="1">
      <c r="Q135" s="23"/>
      <c r="R135" s="23"/>
    </row>
    <row r="136" ht="15.75" customHeight="1">
      <c r="Q136" s="23"/>
      <c r="R136" s="23"/>
    </row>
    <row r="137" ht="15.75" customHeight="1">
      <c r="Q137" s="23"/>
      <c r="R137" s="23"/>
    </row>
    <row r="138" ht="15.75" customHeight="1">
      <c r="Q138" s="23"/>
      <c r="R138" s="23"/>
    </row>
    <row r="139" ht="15.75" customHeight="1">
      <c r="Q139" s="23"/>
      <c r="R139" s="23"/>
    </row>
    <row r="140" ht="15.75" customHeight="1">
      <c r="Q140" s="23"/>
      <c r="R140" s="23"/>
    </row>
    <row r="141" ht="15.75" customHeight="1">
      <c r="Q141" s="23"/>
      <c r="R141" s="23"/>
    </row>
    <row r="142" ht="15.75" customHeight="1">
      <c r="Q142" s="23"/>
      <c r="R142" s="23"/>
    </row>
    <row r="143" ht="15.75" customHeight="1">
      <c r="Q143" s="23"/>
      <c r="R143" s="23"/>
    </row>
    <row r="144" ht="15.75" customHeight="1">
      <c r="Q144" s="23"/>
      <c r="R144" s="23"/>
    </row>
    <row r="145" ht="15.75" customHeight="1">
      <c r="Q145" s="23"/>
      <c r="R145" s="23"/>
    </row>
    <row r="146" ht="15.75" customHeight="1">
      <c r="Q146" s="23"/>
      <c r="R146" s="23"/>
    </row>
    <row r="147" ht="15.75" customHeight="1">
      <c r="Q147" s="23"/>
      <c r="R147" s="23"/>
    </row>
    <row r="148" ht="15.75" customHeight="1">
      <c r="Q148" s="23"/>
      <c r="R148" s="23"/>
    </row>
    <row r="149" ht="15.75" customHeight="1">
      <c r="Q149" s="23"/>
      <c r="R149" s="23"/>
    </row>
    <row r="150" ht="15.75" customHeight="1">
      <c r="Q150" s="23"/>
      <c r="R150" s="23"/>
    </row>
    <row r="151" ht="15.75" customHeight="1">
      <c r="Q151" s="23"/>
      <c r="R151" s="23"/>
    </row>
    <row r="152" ht="15.75" customHeight="1">
      <c r="Q152" s="23"/>
      <c r="R152" s="23"/>
    </row>
    <row r="153" ht="15.75" customHeight="1">
      <c r="Q153" s="23"/>
      <c r="R153" s="23"/>
    </row>
    <row r="154" ht="15.75" customHeight="1">
      <c r="Q154" s="23"/>
      <c r="R154" s="23"/>
    </row>
    <row r="155" ht="15.75" customHeight="1">
      <c r="Q155" s="23"/>
      <c r="R155" s="23"/>
    </row>
    <row r="156" ht="15.75" customHeight="1">
      <c r="Q156" s="23"/>
      <c r="R156" s="23"/>
    </row>
    <row r="157" ht="15.75" customHeight="1">
      <c r="Q157" s="23"/>
      <c r="R157" s="23"/>
    </row>
    <row r="158" ht="15.75" customHeight="1">
      <c r="Q158" s="23"/>
      <c r="R158" s="23"/>
    </row>
    <row r="159" ht="15.75" customHeight="1">
      <c r="Q159" s="23"/>
      <c r="R159" s="23"/>
    </row>
    <row r="160" ht="15.75" customHeight="1">
      <c r="Q160" s="23"/>
      <c r="R160" s="23"/>
    </row>
    <row r="161" ht="15.75" customHeight="1">
      <c r="Q161" s="23"/>
      <c r="R161" s="23"/>
    </row>
    <row r="162" ht="15.75" customHeight="1">
      <c r="Q162" s="23"/>
      <c r="R162" s="23"/>
    </row>
    <row r="163" ht="15.75" customHeight="1">
      <c r="Q163" s="23"/>
      <c r="R163" s="23"/>
    </row>
    <row r="164" ht="15.75" customHeight="1">
      <c r="Q164" s="23"/>
      <c r="R164" s="23"/>
    </row>
    <row r="165" ht="15.75" customHeight="1">
      <c r="Q165" s="23"/>
      <c r="R165" s="23"/>
    </row>
    <row r="166" ht="15.75" customHeight="1">
      <c r="Q166" s="23"/>
      <c r="R166" s="23"/>
    </row>
    <row r="167" ht="15.75" customHeight="1">
      <c r="Q167" s="23"/>
      <c r="R167" s="23"/>
    </row>
    <row r="168" ht="15.75" customHeight="1">
      <c r="Q168" s="23"/>
      <c r="R168" s="23"/>
    </row>
    <row r="169" ht="15.75" customHeight="1">
      <c r="Q169" s="23"/>
      <c r="R169" s="23"/>
    </row>
    <row r="170" ht="15.75" customHeight="1">
      <c r="Q170" s="23"/>
      <c r="R170" s="23"/>
    </row>
    <row r="171" ht="15.75" customHeight="1">
      <c r="Q171" s="23"/>
      <c r="R171" s="23"/>
    </row>
    <row r="172" ht="15.75" customHeight="1">
      <c r="Q172" s="23"/>
      <c r="R172" s="23"/>
    </row>
    <row r="173" ht="15.75" customHeight="1">
      <c r="Q173" s="23"/>
      <c r="R173" s="23"/>
    </row>
    <row r="174" ht="15.75" customHeight="1">
      <c r="Q174" s="23"/>
      <c r="R174" s="23"/>
    </row>
    <row r="175" ht="15.75" customHeight="1">
      <c r="Q175" s="23"/>
      <c r="R175" s="23"/>
    </row>
    <row r="176" ht="15.75" customHeight="1">
      <c r="Q176" s="23"/>
      <c r="R176" s="23"/>
    </row>
    <row r="177" ht="15.75" customHeight="1">
      <c r="Q177" s="23"/>
      <c r="R177" s="23"/>
    </row>
    <row r="178" ht="15.75" customHeight="1">
      <c r="Q178" s="23"/>
      <c r="R178" s="23"/>
    </row>
    <row r="179" ht="15.75" customHeight="1">
      <c r="Q179" s="23"/>
      <c r="R179" s="23"/>
    </row>
    <row r="180" ht="15.75" customHeight="1">
      <c r="Q180" s="23"/>
      <c r="R180" s="23"/>
    </row>
    <row r="181" ht="15.75" customHeight="1">
      <c r="Q181" s="23"/>
      <c r="R181" s="23"/>
    </row>
    <row r="182" ht="15.75" customHeight="1">
      <c r="Q182" s="23"/>
      <c r="R182" s="23"/>
    </row>
    <row r="183" ht="15.75" customHeight="1">
      <c r="Q183" s="23"/>
      <c r="R183" s="23"/>
    </row>
    <row r="184" ht="15.75" customHeight="1">
      <c r="Q184" s="23"/>
      <c r="R184" s="23"/>
    </row>
    <row r="185" ht="15.75" customHeight="1">
      <c r="Q185" s="23"/>
      <c r="R185" s="23"/>
    </row>
    <row r="186" ht="15.75" customHeight="1">
      <c r="Q186" s="23"/>
      <c r="R186" s="23"/>
    </row>
    <row r="187" ht="15.75" customHeight="1">
      <c r="Q187" s="23"/>
      <c r="R187" s="23"/>
    </row>
    <row r="188" ht="15.75" customHeight="1">
      <c r="Q188" s="23"/>
      <c r="R188" s="23"/>
    </row>
    <row r="189" ht="15.75" customHeight="1">
      <c r="Q189" s="23"/>
      <c r="R189" s="23"/>
    </row>
    <row r="190" ht="15.75" customHeight="1">
      <c r="Q190" s="23"/>
      <c r="R190" s="23"/>
    </row>
    <row r="191" ht="15.75" customHeight="1">
      <c r="Q191" s="23"/>
      <c r="R191" s="23"/>
    </row>
    <row r="192" ht="15.75" customHeight="1">
      <c r="Q192" s="23"/>
      <c r="R192" s="23"/>
    </row>
    <row r="193" ht="15.75" customHeight="1">
      <c r="Q193" s="23"/>
      <c r="R193" s="23"/>
    </row>
    <row r="194" ht="15.75" customHeight="1">
      <c r="Q194" s="23"/>
      <c r="R194" s="23"/>
    </row>
    <row r="195" ht="15.75" customHeight="1">
      <c r="Q195" s="23"/>
      <c r="R195" s="23"/>
    </row>
    <row r="196" ht="15.75" customHeight="1">
      <c r="Q196" s="23"/>
      <c r="R196" s="23"/>
    </row>
    <row r="197" ht="15.75" customHeight="1">
      <c r="Q197" s="23"/>
      <c r="R197" s="23"/>
    </row>
    <row r="198" ht="15.75" customHeight="1">
      <c r="Q198" s="23"/>
      <c r="R198" s="23"/>
    </row>
    <row r="199" ht="15.75" customHeight="1">
      <c r="Q199" s="23"/>
      <c r="R199" s="23"/>
    </row>
    <row r="200" ht="15.75" customHeight="1">
      <c r="Q200" s="23"/>
      <c r="R200" s="23"/>
    </row>
    <row r="201" ht="15.75" customHeight="1">
      <c r="Q201" s="23"/>
      <c r="R201" s="23"/>
    </row>
    <row r="202" ht="15.75" customHeight="1">
      <c r="Q202" s="23"/>
      <c r="R202" s="23"/>
    </row>
    <row r="203" ht="15.75" customHeight="1">
      <c r="Q203" s="23"/>
      <c r="R203" s="23"/>
    </row>
    <row r="204" ht="15.75" customHeight="1">
      <c r="Q204" s="23"/>
      <c r="R204" s="23"/>
    </row>
    <row r="205" ht="15.75" customHeight="1">
      <c r="Q205" s="23"/>
      <c r="R205" s="23"/>
    </row>
    <row r="206" ht="15.75" customHeight="1">
      <c r="Q206" s="23"/>
      <c r="R206" s="23"/>
    </row>
    <row r="207" ht="15.75" customHeight="1">
      <c r="Q207" s="23"/>
      <c r="R207" s="23"/>
    </row>
    <row r="208" ht="15.75" customHeight="1">
      <c r="Q208" s="23"/>
      <c r="R208" s="23"/>
    </row>
    <row r="209" ht="15.75" customHeight="1">
      <c r="Q209" s="23"/>
      <c r="R209" s="23"/>
    </row>
    <row r="210" ht="15.75" customHeight="1">
      <c r="Q210" s="23"/>
      <c r="R210" s="23"/>
    </row>
    <row r="211" ht="15.75" customHeight="1">
      <c r="Q211" s="23"/>
      <c r="R211" s="23"/>
    </row>
    <row r="212" ht="15.75" customHeight="1">
      <c r="Q212" s="23"/>
      <c r="R212" s="23"/>
    </row>
    <row r="213" ht="15.75" customHeight="1">
      <c r="Q213" s="23"/>
      <c r="R213" s="23"/>
    </row>
    <row r="214" ht="15.75" customHeight="1">
      <c r="Q214" s="23"/>
      <c r="R214" s="23"/>
    </row>
    <row r="215" ht="15.75" customHeight="1">
      <c r="Q215" s="23"/>
      <c r="R215" s="23"/>
    </row>
    <row r="216" ht="15.75" customHeight="1">
      <c r="Q216" s="23"/>
      <c r="R216" s="23"/>
    </row>
    <row r="217" ht="15.75" customHeight="1">
      <c r="Q217" s="23"/>
      <c r="R217" s="23"/>
    </row>
    <row r="218" ht="15.75" customHeight="1">
      <c r="Q218" s="23"/>
      <c r="R218" s="23"/>
    </row>
    <row r="219" ht="15.75" customHeight="1">
      <c r="Q219" s="23"/>
      <c r="R219" s="23"/>
    </row>
    <row r="220" ht="15.75" customHeight="1">
      <c r="Q220" s="23"/>
      <c r="R220" s="23"/>
    </row>
    <row r="221" ht="15.75" customHeight="1">
      <c r="Q221" s="23"/>
      <c r="R221" s="23"/>
    </row>
    <row r="222" ht="15.75" customHeight="1">
      <c r="Q222" s="23"/>
      <c r="R222" s="23"/>
    </row>
    <row r="223" ht="15.75" customHeight="1">
      <c r="Q223" s="23"/>
      <c r="R223" s="23"/>
    </row>
    <row r="224" ht="15.75" customHeight="1">
      <c r="Q224" s="23"/>
      <c r="R224" s="23"/>
    </row>
    <row r="225" ht="15.75" customHeight="1">
      <c r="Q225" s="23"/>
      <c r="R225" s="23"/>
    </row>
    <row r="226" ht="15.75" customHeight="1">
      <c r="Q226" s="23"/>
      <c r="R226" s="23"/>
    </row>
    <row r="227" ht="15.75" customHeight="1">
      <c r="Q227" s="23"/>
      <c r="R227" s="23"/>
    </row>
    <row r="228" ht="15.75" customHeight="1">
      <c r="Q228" s="23"/>
      <c r="R228" s="23"/>
    </row>
    <row r="229" ht="15.75" customHeight="1">
      <c r="Q229" s="23"/>
      <c r="R229" s="23"/>
    </row>
    <row r="230" ht="15.75" customHeight="1">
      <c r="Q230" s="23"/>
      <c r="R230" s="23"/>
    </row>
    <row r="231" ht="15.75" customHeight="1">
      <c r="Q231" s="23"/>
      <c r="R231" s="23"/>
    </row>
    <row r="232" ht="15.75" customHeight="1">
      <c r="Q232" s="23"/>
      <c r="R232" s="23"/>
    </row>
    <row r="233" ht="15.75" customHeight="1">
      <c r="Q233" s="23"/>
      <c r="R233" s="23"/>
    </row>
    <row r="234" ht="15.75" customHeight="1">
      <c r="Q234" s="23"/>
      <c r="R234" s="23"/>
    </row>
    <row r="235" ht="15.75" customHeight="1">
      <c r="Q235" s="23"/>
      <c r="R235" s="23"/>
    </row>
    <row r="236" ht="15.75" customHeight="1">
      <c r="Q236" s="23"/>
      <c r="R236" s="23"/>
    </row>
    <row r="237" ht="15.75" customHeight="1">
      <c r="Q237" s="23"/>
      <c r="R237" s="23"/>
    </row>
    <row r="238" ht="15.75" customHeight="1">
      <c r="Q238" s="23"/>
      <c r="R238" s="23"/>
    </row>
    <row r="239" ht="15.75" customHeight="1">
      <c r="Q239" s="23"/>
      <c r="R239" s="23"/>
    </row>
    <row r="240" ht="15.75" customHeight="1">
      <c r="Q240" s="23"/>
      <c r="R240" s="23"/>
    </row>
    <row r="241" ht="15.75" customHeight="1">
      <c r="Q241" s="23"/>
      <c r="R241" s="23"/>
    </row>
    <row r="242" ht="15.75" customHeight="1">
      <c r="Q242" s="23"/>
      <c r="R242" s="23"/>
    </row>
    <row r="243" ht="15.75" customHeight="1">
      <c r="Q243" s="23"/>
      <c r="R243" s="23"/>
    </row>
    <row r="244" ht="15.75" customHeight="1">
      <c r="Q244" s="23"/>
      <c r="R244" s="23"/>
    </row>
    <row r="245" ht="15.75" customHeight="1">
      <c r="Q245" s="23"/>
      <c r="R245" s="23"/>
    </row>
    <row r="246" ht="15.75" customHeight="1">
      <c r="Q246" s="23"/>
      <c r="R246" s="23"/>
    </row>
    <row r="247" ht="15.75" customHeight="1">
      <c r="Q247" s="23"/>
      <c r="R247" s="23"/>
    </row>
    <row r="248" ht="15.75" customHeight="1">
      <c r="Q248" s="23"/>
      <c r="R248" s="23"/>
    </row>
    <row r="249" ht="15.75" customHeight="1">
      <c r="Q249" s="23"/>
      <c r="R249" s="23"/>
    </row>
    <row r="250" ht="15.75" customHeight="1">
      <c r="Q250" s="23"/>
      <c r="R250" s="23"/>
    </row>
    <row r="251" ht="15.75" customHeight="1">
      <c r="Q251" s="23"/>
      <c r="R251" s="23"/>
    </row>
    <row r="252" ht="15.75" customHeight="1">
      <c r="Q252" s="23"/>
      <c r="R252" s="23"/>
    </row>
    <row r="253" ht="15.75" customHeight="1">
      <c r="Q253" s="23"/>
      <c r="R253" s="23"/>
    </row>
    <row r="254" ht="15.75" customHeight="1">
      <c r="Q254" s="23"/>
      <c r="R254" s="23"/>
    </row>
    <row r="255" ht="15.75" customHeight="1">
      <c r="Q255" s="23"/>
      <c r="R255" s="23"/>
    </row>
    <row r="256" ht="15.75" customHeight="1">
      <c r="Q256" s="23"/>
      <c r="R256" s="23"/>
    </row>
    <row r="257" ht="15.75" customHeight="1">
      <c r="Q257" s="23"/>
      <c r="R257" s="23"/>
    </row>
    <row r="258" ht="15.75" customHeight="1">
      <c r="Q258" s="23"/>
      <c r="R258" s="23"/>
    </row>
    <row r="259" ht="15.75" customHeight="1">
      <c r="Q259" s="23"/>
      <c r="R259" s="23"/>
    </row>
    <row r="260" ht="15.75" customHeight="1">
      <c r="Q260" s="23"/>
      <c r="R260" s="23"/>
    </row>
    <row r="261" ht="15.75" customHeight="1">
      <c r="Q261" s="23"/>
      <c r="R261" s="23"/>
    </row>
    <row r="262" ht="15.75" customHeight="1">
      <c r="Q262" s="23"/>
      <c r="R262" s="23"/>
    </row>
    <row r="263" ht="15.75" customHeight="1">
      <c r="Q263" s="23"/>
      <c r="R263" s="23"/>
    </row>
    <row r="264" ht="15.75" customHeight="1">
      <c r="Q264" s="23"/>
      <c r="R264" s="23"/>
    </row>
    <row r="265" ht="15.75" customHeight="1">
      <c r="Q265" s="23"/>
      <c r="R265" s="23"/>
    </row>
    <row r="266" ht="15.75" customHeight="1">
      <c r="Q266" s="23"/>
      <c r="R266" s="23"/>
    </row>
    <row r="267" ht="15.75" customHeight="1">
      <c r="Q267" s="23"/>
      <c r="R267" s="23"/>
    </row>
    <row r="268" ht="15.75" customHeight="1">
      <c r="Q268" s="23"/>
      <c r="R268" s="23"/>
    </row>
    <row r="269" ht="15.75" customHeight="1">
      <c r="Q269" s="23"/>
      <c r="R269" s="23"/>
    </row>
    <row r="270" ht="15.75" customHeight="1">
      <c r="Q270" s="23"/>
      <c r="R270" s="23"/>
    </row>
    <row r="271" ht="15.75" customHeight="1">
      <c r="Q271" s="23"/>
      <c r="R271" s="23"/>
    </row>
    <row r="272" ht="15.75" customHeight="1">
      <c r="Q272" s="23"/>
      <c r="R272" s="23"/>
    </row>
    <row r="273" ht="15.75" customHeight="1">
      <c r="Q273" s="23"/>
      <c r="R273" s="23"/>
    </row>
    <row r="274" ht="15.75" customHeight="1">
      <c r="Q274" s="23"/>
      <c r="R274" s="23"/>
    </row>
    <row r="275" ht="15.75" customHeight="1">
      <c r="Q275" s="23"/>
      <c r="R275" s="23"/>
    </row>
    <row r="276" ht="15.75" customHeight="1">
      <c r="Q276" s="23"/>
      <c r="R276" s="23"/>
    </row>
    <row r="277" ht="15.75" customHeight="1">
      <c r="Q277" s="23"/>
      <c r="R277" s="23"/>
    </row>
    <row r="278" ht="15.75" customHeight="1">
      <c r="Q278" s="23"/>
      <c r="R278" s="23"/>
    </row>
    <row r="279" ht="15.75" customHeight="1">
      <c r="Q279" s="23"/>
      <c r="R279" s="23"/>
    </row>
    <row r="280" ht="15.75" customHeight="1">
      <c r="Q280" s="23"/>
      <c r="R280" s="23"/>
    </row>
    <row r="281" ht="15.75" customHeight="1">
      <c r="Q281" s="23"/>
      <c r="R281" s="23"/>
    </row>
    <row r="282" ht="15.75" customHeight="1">
      <c r="Q282" s="23"/>
      <c r="R282" s="23"/>
    </row>
    <row r="283" ht="15.75" customHeight="1">
      <c r="Q283" s="23"/>
      <c r="R283" s="23"/>
    </row>
    <row r="284" ht="15.75" customHeight="1">
      <c r="Q284" s="23"/>
      <c r="R284" s="23"/>
    </row>
    <row r="285" ht="15.75" customHeight="1">
      <c r="Q285" s="23"/>
      <c r="R285" s="23"/>
    </row>
    <row r="286" ht="15.75" customHeight="1">
      <c r="Q286" s="23"/>
      <c r="R286" s="23"/>
    </row>
    <row r="287" ht="15.75" customHeight="1">
      <c r="Q287" s="23"/>
      <c r="R287" s="23"/>
    </row>
    <row r="288" ht="15.75" customHeight="1">
      <c r="Q288" s="23"/>
      <c r="R288" s="23"/>
    </row>
    <row r="289" ht="15.75" customHeight="1">
      <c r="Q289" s="23"/>
      <c r="R289" s="23"/>
    </row>
    <row r="290" ht="15.75" customHeight="1">
      <c r="Q290" s="23"/>
      <c r="R290" s="23"/>
    </row>
    <row r="291" ht="15.75" customHeight="1">
      <c r="Q291" s="23"/>
      <c r="R291" s="23"/>
    </row>
    <row r="292" ht="15.75" customHeight="1">
      <c r="Q292" s="23"/>
      <c r="R292" s="23"/>
    </row>
    <row r="293" ht="15.75" customHeight="1">
      <c r="Q293" s="23"/>
      <c r="R293" s="23"/>
    </row>
    <row r="294" ht="15.75" customHeight="1">
      <c r="Q294" s="23"/>
      <c r="R294" s="23"/>
    </row>
    <row r="295" ht="15.75" customHeight="1">
      <c r="Q295" s="23"/>
      <c r="R295" s="23"/>
    </row>
    <row r="296" ht="15.75" customHeight="1">
      <c r="Q296" s="23"/>
      <c r="R296" s="23"/>
    </row>
    <row r="297" ht="15.75" customHeight="1">
      <c r="Q297" s="23"/>
      <c r="R297" s="23"/>
    </row>
    <row r="298" ht="15.75" customHeight="1">
      <c r="Q298" s="23"/>
      <c r="R298" s="23"/>
    </row>
    <row r="299" ht="15.75" customHeight="1">
      <c r="Q299" s="23"/>
      <c r="R299" s="23"/>
    </row>
    <row r="300" ht="15.75" customHeight="1">
      <c r="Q300" s="23"/>
      <c r="R300" s="23"/>
    </row>
    <row r="301" ht="15.75" customHeight="1">
      <c r="Q301" s="23"/>
      <c r="R301" s="23"/>
    </row>
    <row r="302" ht="15.75" customHeight="1">
      <c r="Q302" s="23"/>
      <c r="R302" s="23"/>
    </row>
    <row r="303" ht="15.75" customHeight="1">
      <c r="Q303" s="23"/>
      <c r="R303" s="23"/>
    </row>
    <row r="304" ht="15.75" customHeight="1">
      <c r="Q304" s="23"/>
      <c r="R304" s="23"/>
    </row>
    <row r="305" ht="15.75" customHeight="1">
      <c r="Q305" s="23"/>
      <c r="R305" s="23"/>
    </row>
    <row r="306" ht="15.75" customHeight="1">
      <c r="Q306" s="23"/>
      <c r="R306" s="23"/>
    </row>
    <row r="307" ht="15.75" customHeight="1">
      <c r="Q307" s="23"/>
      <c r="R307" s="23"/>
    </row>
    <row r="308" ht="15.75" customHeight="1">
      <c r="Q308" s="23"/>
      <c r="R308" s="23"/>
    </row>
    <row r="309" ht="15.75" customHeight="1">
      <c r="Q309" s="23"/>
      <c r="R309" s="23"/>
    </row>
    <row r="310" ht="15.75" customHeight="1">
      <c r="Q310" s="23"/>
      <c r="R310" s="23"/>
    </row>
    <row r="311" ht="15.75" customHeight="1">
      <c r="Q311" s="23"/>
      <c r="R311" s="23"/>
    </row>
    <row r="312" ht="15.75" customHeight="1">
      <c r="Q312" s="23"/>
      <c r="R312" s="23"/>
    </row>
    <row r="313" ht="15.75" customHeight="1">
      <c r="Q313" s="23"/>
      <c r="R313" s="23"/>
    </row>
    <row r="314" ht="15.75" customHeight="1">
      <c r="Q314" s="23"/>
      <c r="R314" s="23"/>
    </row>
    <row r="315" ht="15.75" customHeight="1">
      <c r="Q315" s="23"/>
      <c r="R315" s="23"/>
    </row>
    <row r="316" ht="15.75" customHeight="1">
      <c r="Q316" s="23"/>
      <c r="R316" s="23"/>
    </row>
    <row r="317" ht="15.75" customHeight="1">
      <c r="Q317" s="23"/>
      <c r="R317" s="23"/>
    </row>
    <row r="318" ht="15.75" customHeight="1">
      <c r="Q318" s="23"/>
      <c r="R318" s="23"/>
    </row>
    <row r="319" ht="15.75" customHeight="1">
      <c r="Q319" s="23"/>
      <c r="R319" s="23"/>
    </row>
    <row r="320" ht="15.75" customHeight="1">
      <c r="Q320" s="23"/>
      <c r="R320" s="23"/>
    </row>
    <row r="321" ht="15.75" customHeight="1">
      <c r="Q321" s="23"/>
      <c r="R321" s="23"/>
    </row>
    <row r="322" ht="15.75" customHeight="1">
      <c r="Q322" s="23"/>
      <c r="R322" s="23"/>
    </row>
    <row r="323" ht="15.75" customHeight="1">
      <c r="Q323" s="23"/>
      <c r="R323" s="23"/>
    </row>
    <row r="324" ht="15.75" customHeight="1">
      <c r="Q324" s="23"/>
      <c r="R324" s="23"/>
    </row>
    <row r="325" ht="15.75" customHeight="1">
      <c r="Q325" s="23"/>
      <c r="R325" s="23"/>
    </row>
    <row r="326" ht="15.75" customHeight="1">
      <c r="Q326" s="23"/>
      <c r="R326" s="23"/>
    </row>
    <row r="327" ht="15.75" customHeight="1">
      <c r="Q327" s="23"/>
      <c r="R327" s="23"/>
    </row>
    <row r="328" ht="15.75" customHeight="1">
      <c r="Q328" s="23"/>
      <c r="R328" s="23"/>
    </row>
    <row r="329" ht="15.75" customHeight="1">
      <c r="Q329" s="23"/>
      <c r="R329" s="23"/>
    </row>
    <row r="330" ht="15.75" customHeight="1">
      <c r="Q330" s="23"/>
      <c r="R330" s="23"/>
    </row>
    <row r="331" ht="15.75" customHeight="1">
      <c r="Q331" s="23"/>
      <c r="R331" s="23"/>
    </row>
    <row r="332" ht="15.75" customHeight="1">
      <c r="Q332" s="23"/>
      <c r="R332" s="23"/>
    </row>
    <row r="333" ht="15.75" customHeight="1">
      <c r="Q333" s="23"/>
      <c r="R333" s="23"/>
    </row>
    <row r="334" ht="15.75" customHeight="1">
      <c r="Q334" s="23"/>
      <c r="R334" s="23"/>
    </row>
    <row r="335" ht="15.75" customHeight="1">
      <c r="Q335" s="23"/>
      <c r="R335" s="23"/>
    </row>
    <row r="336" ht="15.75" customHeight="1">
      <c r="Q336" s="23"/>
      <c r="R336" s="23"/>
    </row>
    <row r="337" ht="15.75" customHeight="1">
      <c r="Q337" s="23"/>
      <c r="R337" s="23"/>
    </row>
    <row r="338" ht="15.75" customHeight="1">
      <c r="Q338" s="23"/>
      <c r="R338" s="23"/>
    </row>
    <row r="339" ht="15.75" customHeight="1">
      <c r="Q339" s="23"/>
      <c r="R339" s="23"/>
    </row>
    <row r="340" ht="15.75" customHeight="1">
      <c r="Q340" s="23"/>
      <c r="R340" s="23"/>
    </row>
    <row r="341" ht="15.75" customHeight="1">
      <c r="Q341" s="23"/>
      <c r="R341" s="23"/>
    </row>
    <row r="342" ht="15.75" customHeight="1">
      <c r="Q342" s="23"/>
      <c r="R342" s="23"/>
    </row>
    <row r="343" ht="15.75" customHeight="1">
      <c r="Q343" s="23"/>
      <c r="R343" s="23"/>
    </row>
    <row r="344" ht="15.75" customHeight="1">
      <c r="Q344" s="23"/>
      <c r="R344" s="23"/>
    </row>
    <row r="345" ht="15.75" customHeight="1">
      <c r="Q345" s="23"/>
      <c r="R345" s="23"/>
    </row>
    <row r="346" ht="15.75" customHeight="1">
      <c r="Q346" s="23"/>
      <c r="R346" s="23"/>
    </row>
    <row r="347" ht="15.75" customHeight="1">
      <c r="Q347" s="23"/>
      <c r="R347" s="23"/>
    </row>
    <row r="348" ht="15.75" customHeight="1">
      <c r="Q348" s="23"/>
      <c r="R348" s="23"/>
    </row>
    <row r="349" ht="15.75" customHeight="1">
      <c r="Q349" s="23"/>
      <c r="R349" s="23"/>
    </row>
    <row r="350" ht="15.75" customHeight="1">
      <c r="Q350" s="23"/>
      <c r="R350" s="23"/>
    </row>
    <row r="351" ht="15.75" customHeight="1">
      <c r="Q351" s="23"/>
      <c r="R351" s="23"/>
    </row>
    <row r="352" ht="15.75" customHeight="1">
      <c r="Q352" s="23"/>
      <c r="R352" s="23"/>
    </row>
    <row r="353" ht="15.75" customHeight="1">
      <c r="Q353" s="23"/>
      <c r="R353" s="23"/>
    </row>
    <row r="354" ht="15.75" customHeight="1">
      <c r="Q354" s="23"/>
      <c r="R354" s="23"/>
    </row>
    <row r="355" ht="15.75" customHeight="1">
      <c r="Q355" s="23"/>
      <c r="R355" s="23"/>
    </row>
    <row r="356" ht="15.75" customHeight="1">
      <c r="Q356" s="23"/>
      <c r="R356" s="23"/>
    </row>
    <row r="357" ht="15.75" customHeight="1">
      <c r="Q357" s="23"/>
      <c r="R357" s="23"/>
    </row>
    <row r="358" ht="15.75" customHeight="1">
      <c r="Q358" s="23"/>
      <c r="R358" s="23"/>
    </row>
    <row r="359" ht="15.75" customHeight="1">
      <c r="Q359" s="23"/>
      <c r="R359" s="23"/>
    </row>
    <row r="360" ht="15.75" customHeight="1">
      <c r="Q360" s="23"/>
      <c r="R360" s="23"/>
    </row>
    <row r="361" ht="15.75" customHeight="1">
      <c r="Q361" s="23"/>
      <c r="R361" s="23"/>
    </row>
    <row r="362" ht="15.75" customHeight="1">
      <c r="Q362" s="23"/>
      <c r="R362" s="23"/>
    </row>
    <row r="363" ht="15.75" customHeight="1">
      <c r="Q363" s="23"/>
      <c r="R363" s="23"/>
    </row>
    <row r="364" ht="15.75" customHeight="1">
      <c r="Q364" s="23"/>
      <c r="R364" s="23"/>
    </row>
    <row r="365" ht="15.75" customHeight="1">
      <c r="Q365" s="23"/>
      <c r="R365" s="23"/>
    </row>
    <row r="366" ht="15.75" customHeight="1">
      <c r="Q366" s="23"/>
      <c r="R366" s="23"/>
    </row>
    <row r="367" ht="15.75" customHeight="1">
      <c r="Q367" s="23"/>
      <c r="R367" s="23"/>
    </row>
    <row r="368" ht="15.75" customHeight="1">
      <c r="Q368" s="23"/>
      <c r="R368" s="23"/>
    </row>
    <row r="369" ht="15.75" customHeight="1">
      <c r="Q369" s="23"/>
      <c r="R369" s="23"/>
    </row>
    <row r="370" ht="15.75" customHeight="1">
      <c r="Q370" s="23"/>
      <c r="R370" s="23"/>
    </row>
    <row r="371" ht="15.75" customHeight="1">
      <c r="Q371" s="23"/>
      <c r="R371" s="23"/>
    </row>
    <row r="372" ht="15.75" customHeight="1">
      <c r="Q372" s="23"/>
      <c r="R372" s="23"/>
    </row>
    <row r="373" ht="15.75" customHeight="1">
      <c r="Q373" s="23"/>
      <c r="R373" s="23"/>
    </row>
    <row r="374" ht="15.75" customHeight="1">
      <c r="Q374" s="23"/>
      <c r="R374" s="23"/>
    </row>
    <row r="375" ht="15.75" customHeight="1">
      <c r="Q375" s="23"/>
      <c r="R375" s="23"/>
    </row>
    <row r="376" ht="15.75" customHeight="1">
      <c r="Q376" s="23"/>
      <c r="R376" s="23"/>
    </row>
    <row r="377" ht="15.75" customHeight="1">
      <c r="Q377" s="23"/>
      <c r="R377" s="23"/>
    </row>
    <row r="378" ht="15.75" customHeight="1">
      <c r="Q378" s="23"/>
      <c r="R378" s="23"/>
    </row>
    <row r="379" ht="15.75" customHeight="1">
      <c r="Q379" s="23"/>
      <c r="R379" s="23"/>
    </row>
    <row r="380" ht="15.75" customHeight="1">
      <c r="Q380" s="23"/>
      <c r="R380" s="23"/>
    </row>
    <row r="381" ht="15.75" customHeight="1">
      <c r="Q381" s="23"/>
      <c r="R381" s="23"/>
    </row>
    <row r="382" ht="15.75" customHeight="1">
      <c r="Q382" s="23"/>
      <c r="R382" s="23"/>
    </row>
    <row r="383" ht="15.75" customHeight="1">
      <c r="Q383" s="23"/>
      <c r="R383" s="23"/>
    </row>
    <row r="384" ht="15.75" customHeight="1">
      <c r="Q384" s="23"/>
      <c r="R384" s="23"/>
    </row>
    <row r="385" ht="15.75" customHeight="1">
      <c r="Q385" s="23"/>
      <c r="R385" s="23"/>
    </row>
    <row r="386" ht="15.75" customHeight="1">
      <c r="Q386" s="23"/>
      <c r="R386" s="23"/>
    </row>
    <row r="387" ht="15.75" customHeight="1">
      <c r="Q387" s="23"/>
      <c r="R387" s="23"/>
    </row>
    <row r="388" ht="15.75" customHeight="1">
      <c r="Q388" s="23"/>
      <c r="R388" s="23"/>
    </row>
    <row r="389" ht="15.75" customHeight="1">
      <c r="Q389" s="23"/>
      <c r="R389" s="23"/>
    </row>
    <row r="390" ht="15.75" customHeight="1">
      <c r="Q390" s="23"/>
      <c r="R390" s="23"/>
    </row>
    <row r="391" ht="15.75" customHeight="1">
      <c r="Q391" s="23"/>
      <c r="R391" s="23"/>
    </row>
    <row r="392" ht="15.75" customHeight="1">
      <c r="Q392" s="23"/>
      <c r="R392" s="23"/>
    </row>
    <row r="393" ht="15.75" customHeight="1">
      <c r="Q393" s="23"/>
      <c r="R393" s="23"/>
    </row>
    <row r="394" ht="15.75" customHeight="1">
      <c r="Q394" s="23"/>
      <c r="R394" s="23"/>
    </row>
    <row r="395" ht="15.75" customHeight="1">
      <c r="Q395" s="23"/>
      <c r="R395" s="23"/>
    </row>
    <row r="396" ht="15.75" customHeight="1">
      <c r="Q396" s="23"/>
      <c r="R396" s="23"/>
    </row>
    <row r="397" ht="15.75" customHeight="1">
      <c r="Q397" s="23"/>
      <c r="R397" s="23"/>
    </row>
    <row r="398" ht="15.75" customHeight="1">
      <c r="Q398" s="23"/>
      <c r="R398" s="23"/>
    </row>
    <row r="399" ht="15.75" customHeight="1">
      <c r="Q399" s="23"/>
      <c r="R399" s="23"/>
    </row>
    <row r="400" ht="15.75" customHeight="1">
      <c r="Q400" s="23"/>
      <c r="R400" s="23"/>
    </row>
    <row r="401" ht="15.75" customHeight="1">
      <c r="Q401" s="23"/>
      <c r="R401" s="23"/>
    </row>
    <row r="402" ht="15.75" customHeight="1">
      <c r="Q402" s="23"/>
      <c r="R402" s="23"/>
    </row>
    <row r="403" ht="15.75" customHeight="1">
      <c r="Q403" s="23"/>
      <c r="R403" s="23"/>
    </row>
    <row r="404" ht="15.75" customHeight="1">
      <c r="Q404" s="23"/>
      <c r="R404" s="23"/>
    </row>
    <row r="405" ht="15.75" customHeight="1">
      <c r="Q405" s="23"/>
      <c r="R405" s="23"/>
    </row>
    <row r="406" ht="15.75" customHeight="1">
      <c r="Q406" s="23"/>
      <c r="R406" s="23"/>
    </row>
    <row r="407" ht="15.75" customHeight="1">
      <c r="Q407" s="23"/>
      <c r="R407" s="23"/>
    </row>
    <row r="408" ht="15.75" customHeight="1">
      <c r="Q408" s="23"/>
      <c r="R408" s="23"/>
    </row>
    <row r="409" ht="15.75" customHeight="1">
      <c r="Q409" s="23"/>
      <c r="R409" s="23"/>
    </row>
    <row r="410" ht="15.75" customHeight="1">
      <c r="Q410" s="23"/>
      <c r="R410" s="23"/>
    </row>
    <row r="411" ht="15.75" customHeight="1">
      <c r="Q411" s="23"/>
      <c r="R411" s="23"/>
    </row>
    <row r="412" ht="15.75" customHeight="1">
      <c r="Q412" s="23"/>
      <c r="R412" s="23"/>
    </row>
    <row r="413" ht="15.75" customHeight="1">
      <c r="Q413" s="23"/>
      <c r="R413" s="23"/>
    </row>
    <row r="414" ht="15.75" customHeight="1">
      <c r="Q414" s="23"/>
      <c r="R414" s="23"/>
    </row>
    <row r="415" ht="15.75" customHeight="1">
      <c r="Q415" s="23"/>
      <c r="R415" s="23"/>
    </row>
    <row r="416" ht="15.75" customHeight="1">
      <c r="Q416" s="23"/>
      <c r="R416" s="23"/>
    </row>
    <row r="417" ht="15.75" customHeight="1">
      <c r="Q417" s="23"/>
      <c r="R417" s="23"/>
    </row>
    <row r="418" ht="15.75" customHeight="1">
      <c r="Q418" s="23"/>
      <c r="R418" s="23"/>
    </row>
    <row r="419" ht="15.75" customHeight="1">
      <c r="Q419" s="23"/>
      <c r="R419" s="23"/>
    </row>
    <row r="420" ht="15.75" customHeight="1">
      <c r="Q420" s="23"/>
      <c r="R420" s="23"/>
    </row>
    <row r="421" ht="15.75" customHeight="1">
      <c r="Q421" s="23"/>
      <c r="R421" s="23"/>
    </row>
    <row r="422" ht="15.75" customHeight="1">
      <c r="Q422" s="23"/>
      <c r="R422" s="23"/>
    </row>
    <row r="423" ht="15.75" customHeight="1">
      <c r="Q423" s="23"/>
      <c r="R423" s="23"/>
    </row>
    <row r="424" ht="15.75" customHeight="1">
      <c r="Q424" s="23"/>
      <c r="R424" s="23"/>
    </row>
    <row r="425" ht="15.75" customHeight="1">
      <c r="Q425" s="23"/>
      <c r="R425" s="23"/>
    </row>
    <row r="426" ht="15.75" customHeight="1">
      <c r="Q426" s="23"/>
      <c r="R426" s="23"/>
    </row>
    <row r="427" ht="15.75" customHeight="1">
      <c r="Q427" s="23"/>
      <c r="R427" s="23"/>
    </row>
    <row r="428" ht="15.75" customHeight="1">
      <c r="Q428" s="23"/>
      <c r="R428" s="23"/>
    </row>
    <row r="429" ht="15.75" customHeight="1">
      <c r="Q429" s="23"/>
      <c r="R429" s="23"/>
    </row>
    <row r="430" ht="15.75" customHeight="1">
      <c r="Q430" s="23"/>
      <c r="R430" s="23"/>
    </row>
    <row r="431" ht="15.75" customHeight="1">
      <c r="Q431" s="23"/>
      <c r="R431" s="23"/>
    </row>
    <row r="432" ht="15.75" customHeight="1">
      <c r="Q432" s="23"/>
      <c r="R432" s="23"/>
    </row>
    <row r="433" ht="15.75" customHeight="1">
      <c r="Q433" s="23"/>
      <c r="R433" s="23"/>
    </row>
    <row r="434" ht="15.75" customHeight="1">
      <c r="Q434" s="23"/>
      <c r="R434" s="23"/>
    </row>
    <row r="435" ht="15.75" customHeight="1">
      <c r="Q435" s="23"/>
      <c r="R435" s="23"/>
    </row>
    <row r="436" ht="15.75" customHeight="1">
      <c r="Q436" s="23"/>
      <c r="R436" s="23"/>
    </row>
    <row r="437" ht="15.75" customHeight="1">
      <c r="Q437" s="23"/>
      <c r="R437" s="23"/>
    </row>
    <row r="438" ht="15.75" customHeight="1">
      <c r="Q438" s="23"/>
      <c r="R438" s="23"/>
    </row>
    <row r="439" ht="15.75" customHeight="1">
      <c r="Q439" s="23"/>
      <c r="R439" s="23"/>
    </row>
    <row r="440" ht="15.75" customHeight="1">
      <c r="Q440" s="23"/>
      <c r="R440" s="23"/>
    </row>
    <row r="441" ht="15.75" customHeight="1">
      <c r="Q441" s="23"/>
      <c r="R441" s="23"/>
    </row>
    <row r="442" ht="15.75" customHeight="1">
      <c r="Q442" s="23"/>
      <c r="R442" s="23"/>
    </row>
    <row r="443" ht="15.75" customHeight="1">
      <c r="Q443" s="23"/>
      <c r="R443" s="23"/>
    </row>
    <row r="444" ht="15.75" customHeight="1">
      <c r="Q444" s="23"/>
      <c r="R444" s="23"/>
    </row>
    <row r="445" ht="15.75" customHeight="1">
      <c r="Q445" s="23"/>
      <c r="R445" s="23"/>
    </row>
    <row r="446" ht="15.75" customHeight="1">
      <c r="Q446" s="23"/>
      <c r="R446" s="23"/>
    </row>
    <row r="447" ht="15.75" customHeight="1">
      <c r="Q447" s="23"/>
      <c r="R447" s="23"/>
    </row>
    <row r="448" ht="15.75" customHeight="1">
      <c r="Q448" s="23"/>
      <c r="R448" s="23"/>
    </row>
    <row r="449" ht="15.75" customHeight="1">
      <c r="Q449" s="23"/>
      <c r="R449" s="23"/>
    </row>
    <row r="450" ht="15.75" customHeight="1">
      <c r="Q450" s="23"/>
      <c r="R450" s="23"/>
    </row>
    <row r="451" ht="15.75" customHeight="1">
      <c r="Q451" s="23"/>
      <c r="R451" s="23"/>
    </row>
    <row r="452" ht="15.75" customHeight="1">
      <c r="Q452" s="23"/>
      <c r="R452" s="23"/>
    </row>
    <row r="453" ht="15.75" customHeight="1">
      <c r="Q453" s="23"/>
      <c r="R453" s="23"/>
    </row>
    <row r="454" ht="15.75" customHeight="1">
      <c r="Q454" s="23"/>
      <c r="R454" s="23"/>
    </row>
    <row r="455" ht="15.75" customHeight="1">
      <c r="Q455" s="23"/>
      <c r="R455" s="23"/>
    </row>
    <row r="456" ht="15.75" customHeight="1">
      <c r="Q456" s="23"/>
      <c r="R456" s="23"/>
    </row>
    <row r="457" ht="15.75" customHeight="1">
      <c r="Q457" s="23"/>
      <c r="R457" s="23"/>
    </row>
    <row r="458" ht="15.75" customHeight="1">
      <c r="Q458" s="23"/>
      <c r="R458" s="23"/>
    </row>
    <row r="459" ht="15.75" customHeight="1">
      <c r="Q459" s="23"/>
      <c r="R459" s="23"/>
    </row>
    <row r="460" ht="15.75" customHeight="1">
      <c r="Q460" s="23"/>
      <c r="R460" s="23"/>
    </row>
    <row r="461" ht="15.75" customHeight="1">
      <c r="Q461" s="23"/>
      <c r="R461" s="23"/>
    </row>
    <row r="462" ht="15.75" customHeight="1">
      <c r="Q462" s="23"/>
      <c r="R462" s="23"/>
    </row>
    <row r="463" ht="15.75" customHeight="1">
      <c r="Q463" s="23"/>
      <c r="R463" s="23"/>
    </row>
    <row r="464" ht="15.75" customHeight="1">
      <c r="Q464" s="23"/>
      <c r="R464" s="23"/>
    </row>
    <row r="465" ht="15.75" customHeight="1">
      <c r="Q465" s="23"/>
      <c r="R465" s="23"/>
    </row>
    <row r="466" ht="15.75" customHeight="1">
      <c r="Q466" s="23"/>
      <c r="R466" s="23"/>
    </row>
    <row r="467" ht="15.75" customHeight="1">
      <c r="Q467" s="23"/>
      <c r="R467" s="23"/>
    </row>
    <row r="468" ht="15.75" customHeight="1">
      <c r="Q468" s="23"/>
      <c r="R468" s="23"/>
    </row>
    <row r="469" ht="15.75" customHeight="1">
      <c r="Q469" s="23"/>
      <c r="R469" s="23"/>
    </row>
    <row r="470" ht="15.75" customHeight="1">
      <c r="Q470" s="23"/>
      <c r="R470" s="23"/>
    </row>
    <row r="471" ht="15.75" customHeight="1">
      <c r="Q471" s="23"/>
      <c r="R471" s="23"/>
    </row>
    <row r="472" ht="15.75" customHeight="1">
      <c r="Q472" s="23"/>
      <c r="R472" s="23"/>
    </row>
    <row r="473" ht="15.75" customHeight="1">
      <c r="Q473" s="23"/>
      <c r="R473" s="23"/>
    </row>
    <row r="474" ht="15.75" customHeight="1">
      <c r="Q474" s="23"/>
      <c r="R474" s="23"/>
    </row>
    <row r="475" ht="15.75" customHeight="1">
      <c r="Q475" s="23"/>
      <c r="R475" s="23"/>
    </row>
    <row r="476" ht="15.75" customHeight="1">
      <c r="Q476" s="23"/>
      <c r="R476" s="23"/>
    </row>
    <row r="477" ht="15.75" customHeight="1">
      <c r="Q477" s="23"/>
      <c r="R477" s="23"/>
    </row>
    <row r="478" ht="15.75" customHeight="1">
      <c r="Q478" s="23"/>
      <c r="R478" s="23"/>
    </row>
    <row r="479" ht="15.75" customHeight="1">
      <c r="Q479" s="23"/>
      <c r="R479" s="23"/>
    </row>
    <row r="480" ht="15.75" customHeight="1">
      <c r="Q480" s="23"/>
      <c r="R480" s="23"/>
    </row>
    <row r="481" ht="15.75" customHeight="1">
      <c r="Q481" s="23"/>
      <c r="R481" s="23"/>
    </row>
    <row r="482" ht="15.75" customHeight="1">
      <c r="Q482" s="23"/>
      <c r="R482" s="23"/>
    </row>
    <row r="483" ht="15.75" customHeight="1">
      <c r="Q483" s="23"/>
      <c r="R483" s="23"/>
    </row>
    <row r="484" ht="15.75" customHeight="1">
      <c r="Q484" s="23"/>
      <c r="R484" s="23"/>
    </row>
    <row r="485" ht="15.75" customHeight="1">
      <c r="Q485" s="23"/>
      <c r="R485" s="23"/>
    </row>
    <row r="486" ht="15.75" customHeight="1">
      <c r="Q486" s="23"/>
      <c r="R486" s="23"/>
    </row>
    <row r="487" ht="15.75" customHeight="1">
      <c r="Q487" s="23"/>
      <c r="R487" s="23"/>
    </row>
    <row r="488" ht="15.75" customHeight="1">
      <c r="Q488" s="23"/>
      <c r="R488" s="23"/>
    </row>
    <row r="489" ht="15.75" customHeight="1">
      <c r="Q489" s="23"/>
      <c r="R489" s="23"/>
    </row>
    <row r="490" ht="15.75" customHeight="1">
      <c r="Q490" s="23"/>
      <c r="R490" s="23"/>
    </row>
    <row r="491" ht="15.75" customHeight="1">
      <c r="Q491" s="23"/>
      <c r="R491" s="23"/>
    </row>
    <row r="492" ht="15.75" customHeight="1">
      <c r="Q492" s="23"/>
      <c r="R492" s="23"/>
    </row>
    <row r="493" ht="15.75" customHeight="1">
      <c r="Q493" s="23"/>
      <c r="R493" s="23"/>
    </row>
    <row r="494" ht="15.75" customHeight="1">
      <c r="Q494" s="23"/>
      <c r="R494" s="23"/>
    </row>
    <row r="495" ht="15.75" customHeight="1">
      <c r="Q495" s="23"/>
      <c r="R495" s="23"/>
    </row>
    <row r="496" ht="15.75" customHeight="1">
      <c r="Q496" s="23"/>
      <c r="R496" s="23"/>
    </row>
    <row r="497" ht="15.75" customHeight="1">
      <c r="Q497" s="23"/>
      <c r="R497" s="23"/>
    </row>
    <row r="498" ht="15.75" customHeight="1">
      <c r="Q498" s="23"/>
      <c r="R498" s="23"/>
    </row>
    <row r="499" ht="15.75" customHeight="1">
      <c r="Q499" s="23"/>
      <c r="R499" s="23"/>
    </row>
    <row r="500" ht="15.75" customHeight="1">
      <c r="Q500" s="23"/>
      <c r="R500" s="23"/>
    </row>
    <row r="501" ht="15.75" customHeight="1">
      <c r="Q501" s="23"/>
      <c r="R501" s="23"/>
    </row>
    <row r="502" ht="15.75" customHeight="1">
      <c r="Q502" s="23"/>
      <c r="R502" s="23"/>
    </row>
    <row r="503" ht="15.75" customHeight="1">
      <c r="Q503" s="23"/>
      <c r="R503" s="23"/>
    </row>
    <row r="504" ht="15.75" customHeight="1">
      <c r="Q504" s="23"/>
      <c r="R504" s="23"/>
    </row>
    <row r="505" ht="15.75" customHeight="1">
      <c r="Q505" s="23"/>
      <c r="R505" s="23"/>
    </row>
    <row r="506" ht="15.75" customHeight="1">
      <c r="Q506" s="23"/>
      <c r="R506" s="23"/>
    </row>
    <row r="507" ht="15.75" customHeight="1">
      <c r="Q507" s="23"/>
      <c r="R507" s="23"/>
    </row>
    <row r="508" ht="15.75" customHeight="1">
      <c r="Q508" s="23"/>
      <c r="R508" s="23"/>
    </row>
    <row r="509" ht="15.75" customHeight="1">
      <c r="Q509" s="23"/>
      <c r="R509" s="23"/>
    </row>
    <row r="510" ht="15.75" customHeight="1">
      <c r="Q510" s="23"/>
      <c r="R510" s="23"/>
    </row>
    <row r="511" ht="15.75" customHeight="1">
      <c r="Q511" s="23"/>
      <c r="R511" s="23"/>
    </row>
    <row r="512" ht="15.75" customHeight="1">
      <c r="Q512" s="23"/>
      <c r="R512" s="23"/>
    </row>
    <row r="513" ht="15.75" customHeight="1">
      <c r="Q513" s="23"/>
      <c r="R513" s="23"/>
    </row>
    <row r="514" ht="15.75" customHeight="1">
      <c r="Q514" s="23"/>
      <c r="R514" s="23"/>
    </row>
    <row r="515" ht="15.75" customHeight="1">
      <c r="Q515" s="23"/>
      <c r="R515" s="23"/>
    </row>
    <row r="516" ht="15.75" customHeight="1">
      <c r="Q516" s="23"/>
      <c r="R516" s="23"/>
    </row>
    <row r="517" ht="15.75" customHeight="1">
      <c r="Q517" s="23"/>
      <c r="R517" s="23"/>
    </row>
    <row r="518" ht="15.75" customHeight="1">
      <c r="Q518" s="23"/>
      <c r="R518" s="23"/>
    </row>
    <row r="519" ht="15.75" customHeight="1">
      <c r="Q519" s="23"/>
      <c r="R519" s="23"/>
    </row>
    <row r="520" ht="15.75" customHeight="1">
      <c r="Q520" s="23"/>
      <c r="R520" s="23"/>
    </row>
    <row r="521" ht="15.75" customHeight="1">
      <c r="Q521" s="23"/>
      <c r="R521" s="23"/>
    </row>
    <row r="522" ht="15.75" customHeight="1">
      <c r="Q522" s="23"/>
      <c r="R522" s="23"/>
    </row>
    <row r="523" ht="15.75" customHeight="1">
      <c r="Q523" s="23"/>
      <c r="R523" s="23"/>
    </row>
    <row r="524" ht="15.75" customHeight="1">
      <c r="Q524" s="23"/>
      <c r="R524" s="23"/>
    </row>
    <row r="525" ht="15.75" customHeight="1">
      <c r="Q525" s="23"/>
      <c r="R525" s="23"/>
    </row>
    <row r="526" ht="15.75" customHeight="1">
      <c r="Q526" s="23"/>
      <c r="R526" s="23"/>
    </row>
    <row r="527" ht="15.75" customHeight="1">
      <c r="Q527" s="23"/>
      <c r="R527" s="23"/>
    </row>
    <row r="528" ht="15.75" customHeight="1">
      <c r="Q528" s="23"/>
      <c r="R528" s="23"/>
    </row>
    <row r="529" ht="15.75" customHeight="1">
      <c r="Q529" s="23"/>
      <c r="R529" s="23"/>
    </row>
    <row r="530" ht="15.75" customHeight="1">
      <c r="Q530" s="23"/>
      <c r="R530" s="23"/>
    </row>
    <row r="531" ht="15.75" customHeight="1">
      <c r="Q531" s="23"/>
      <c r="R531" s="23"/>
    </row>
    <row r="532" ht="15.75" customHeight="1">
      <c r="Q532" s="23"/>
      <c r="R532" s="23"/>
    </row>
    <row r="533" ht="15.75" customHeight="1">
      <c r="Q533" s="23"/>
      <c r="R533" s="23"/>
    </row>
    <row r="534" ht="15.75" customHeight="1">
      <c r="Q534" s="23"/>
      <c r="R534" s="23"/>
    </row>
    <row r="535" ht="15.75" customHeight="1">
      <c r="Q535" s="23"/>
      <c r="R535" s="23"/>
    </row>
    <row r="536" ht="15.75" customHeight="1">
      <c r="Q536" s="23"/>
      <c r="R536" s="23"/>
    </row>
    <row r="537" ht="15.75" customHeight="1">
      <c r="Q537" s="23"/>
      <c r="R537" s="23"/>
    </row>
    <row r="538" ht="15.75" customHeight="1">
      <c r="Q538" s="23"/>
      <c r="R538" s="23"/>
    </row>
    <row r="539" ht="15.75" customHeight="1">
      <c r="Q539" s="23"/>
      <c r="R539" s="23"/>
    </row>
    <row r="540" ht="15.75" customHeight="1">
      <c r="Q540" s="23"/>
      <c r="R540" s="23"/>
    </row>
    <row r="541" ht="15.75" customHeight="1">
      <c r="Q541" s="23"/>
      <c r="R541" s="23"/>
    </row>
    <row r="542" ht="15.75" customHeight="1">
      <c r="Q542" s="23"/>
      <c r="R542" s="23"/>
    </row>
    <row r="543" ht="15.75" customHeight="1">
      <c r="Q543" s="23"/>
      <c r="R543" s="23"/>
    </row>
    <row r="544" ht="15.75" customHeight="1">
      <c r="Q544" s="23"/>
      <c r="R544" s="23"/>
    </row>
    <row r="545" ht="15.75" customHeight="1">
      <c r="Q545" s="23"/>
      <c r="R545" s="23"/>
    </row>
    <row r="546" ht="15.75" customHeight="1">
      <c r="Q546" s="23"/>
      <c r="R546" s="23"/>
    </row>
    <row r="547" ht="15.75" customHeight="1">
      <c r="Q547" s="23"/>
      <c r="R547" s="23"/>
    </row>
    <row r="548" ht="15.75" customHeight="1">
      <c r="Q548" s="23"/>
      <c r="R548" s="23"/>
    </row>
    <row r="549" ht="15.75" customHeight="1">
      <c r="Q549" s="23"/>
      <c r="R549" s="23"/>
    </row>
    <row r="550" ht="15.75" customHeight="1">
      <c r="Q550" s="23"/>
      <c r="R550" s="23"/>
    </row>
    <row r="551" ht="15.75" customHeight="1">
      <c r="Q551" s="23"/>
      <c r="R551" s="23"/>
    </row>
    <row r="552" ht="15.75" customHeight="1">
      <c r="Q552" s="23"/>
      <c r="R552" s="23"/>
    </row>
    <row r="553" ht="15.75" customHeight="1">
      <c r="Q553" s="23"/>
      <c r="R553" s="23"/>
    </row>
    <row r="554" ht="15.75" customHeight="1">
      <c r="Q554" s="23"/>
      <c r="R554" s="23"/>
    </row>
    <row r="555" ht="15.75" customHeight="1">
      <c r="Q555" s="23"/>
      <c r="R555" s="23"/>
    </row>
    <row r="556" ht="15.75" customHeight="1">
      <c r="Q556" s="23"/>
      <c r="R556" s="23"/>
    </row>
    <row r="557" ht="15.75" customHeight="1">
      <c r="Q557" s="23"/>
      <c r="R557" s="23"/>
    </row>
    <row r="558" ht="15.75" customHeight="1">
      <c r="Q558" s="23"/>
      <c r="R558" s="23"/>
    </row>
    <row r="559" ht="15.75" customHeight="1">
      <c r="Q559" s="23"/>
      <c r="R559" s="23"/>
    </row>
    <row r="560" ht="15.75" customHeight="1">
      <c r="Q560" s="23"/>
      <c r="R560" s="23"/>
    </row>
    <row r="561" ht="15.75" customHeight="1">
      <c r="Q561" s="23"/>
      <c r="R561" s="23"/>
    </row>
    <row r="562" ht="15.75" customHeight="1">
      <c r="Q562" s="23"/>
      <c r="R562" s="23"/>
    </row>
    <row r="563" ht="15.75" customHeight="1">
      <c r="Q563" s="23"/>
      <c r="R563" s="23"/>
    </row>
    <row r="564" ht="15.75" customHeight="1">
      <c r="Q564" s="23"/>
      <c r="R564" s="23"/>
    </row>
    <row r="565" ht="15.75" customHeight="1">
      <c r="Q565" s="23"/>
      <c r="R565" s="23"/>
    </row>
    <row r="566" ht="15.75" customHeight="1">
      <c r="Q566" s="23"/>
      <c r="R566" s="23"/>
    </row>
    <row r="567" ht="15.75" customHeight="1">
      <c r="Q567" s="23"/>
      <c r="R567" s="23"/>
    </row>
    <row r="568" ht="15.75" customHeight="1">
      <c r="Q568" s="23"/>
      <c r="R568" s="23"/>
    </row>
    <row r="569" ht="15.75" customHeight="1">
      <c r="Q569" s="23"/>
      <c r="R569" s="23"/>
    </row>
    <row r="570" ht="15.75" customHeight="1">
      <c r="Q570" s="23"/>
      <c r="R570" s="23"/>
    </row>
    <row r="571" ht="15.75" customHeight="1">
      <c r="Q571" s="23"/>
      <c r="R571" s="23"/>
    </row>
    <row r="572" ht="15.75" customHeight="1">
      <c r="Q572" s="23"/>
      <c r="R572" s="23"/>
    </row>
    <row r="573" ht="15.75" customHeight="1">
      <c r="Q573" s="23"/>
      <c r="R573" s="23"/>
    </row>
    <row r="574" ht="15.75" customHeight="1">
      <c r="Q574" s="23"/>
      <c r="R574" s="23"/>
    </row>
    <row r="575" ht="15.75" customHeight="1">
      <c r="Q575" s="23"/>
      <c r="R575" s="23"/>
    </row>
    <row r="576" ht="15.75" customHeight="1">
      <c r="Q576" s="23"/>
      <c r="R576" s="23"/>
    </row>
    <row r="577" ht="15.75" customHeight="1">
      <c r="Q577" s="23"/>
      <c r="R577" s="23"/>
    </row>
    <row r="578" ht="15.75" customHeight="1">
      <c r="Q578" s="23"/>
      <c r="R578" s="23"/>
    </row>
    <row r="579" ht="15.75" customHeight="1">
      <c r="Q579" s="23"/>
      <c r="R579" s="23"/>
    </row>
    <row r="580" ht="15.75" customHeight="1">
      <c r="Q580" s="23"/>
      <c r="R580" s="23"/>
    </row>
    <row r="581" ht="15.75" customHeight="1">
      <c r="Q581" s="23"/>
      <c r="R581" s="23"/>
    </row>
    <row r="582" ht="15.75" customHeight="1">
      <c r="Q582" s="23"/>
      <c r="R582" s="23"/>
    </row>
    <row r="583" ht="15.75" customHeight="1">
      <c r="Q583" s="23"/>
      <c r="R583" s="23"/>
    </row>
    <row r="584" ht="15.75" customHeight="1">
      <c r="Q584" s="23"/>
      <c r="R584" s="23"/>
    </row>
    <row r="585" ht="15.75" customHeight="1">
      <c r="Q585" s="23"/>
      <c r="R585" s="23"/>
    </row>
    <row r="586" ht="15.75" customHeight="1">
      <c r="Q586" s="23"/>
      <c r="R586" s="23"/>
    </row>
    <row r="587" ht="15.75" customHeight="1">
      <c r="Q587" s="23"/>
      <c r="R587" s="23"/>
    </row>
    <row r="588" ht="15.75" customHeight="1">
      <c r="Q588" s="23"/>
      <c r="R588" s="23"/>
    </row>
    <row r="589" ht="15.75" customHeight="1">
      <c r="Q589" s="23"/>
      <c r="R589" s="23"/>
    </row>
    <row r="590" ht="15.75" customHeight="1">
      <c r="Q590" s="23"/>
      <c r="R590" s="23"/>
    </row>
    <row r="591" ht="15.75" customHeight="1">
      <c r="Q591" s="23"/>
      <c r="R591" s="23"/>
    </row>
    <row r="592" ht="15.75" customHeight="1">
      <c r="Q592" s="23"/>
      <c r="R592" s="23"/>
    </row>
    <row r="593" ht="15.75" customHeight="1">
      <c r="Q593" s="23"/>
      <c r="R593" s="23"/>
    </row>
    <row r="594" ht="15.75" customHeight="1">
      <c r="Q594" s="23"/>
      <c r="R594" s="23"/>
    </row>
    <row r="595" ht="15.75" customHeight="1">
      <c r="Q595" s="23"/>
      <c r="R595" s="23"/>
    </row>
    <row r="596" ht="15.75" customHeight="1">
      <c r="Q596" s="23"/>
      <c r="R596" s="23"/>
    </row>
    <row r="597" ht="15.75" customHeight="1">
      <c r="Q597" s="23"/>
      <c r="R597" s="23"/>
    </row>
    <row r="598" ht="15.75" customHeight="1">
      <c r="Q598" s="23"/>
      <c r="R598" s="23"/>
    </row>
    <row r="599" ht="15.75" customHeight="1">
      <c r="Q599" s="23"/>
      <c r="R599" s="23"/>
    </row>
    <row r="600" ht="15.75" customHeight="1">
      <c r="Q600" s="23"/>
      <c r="R600" s="23"/>
    </row>
    <row r="601" ht="15.75" customHeight="1">
      <c r="Q601" s="23"/>
      <c r="R601" s="23"/>
    </row>
    <row r="602" ht="15.75" customHeight="1">
      <c r="Q602" s="23"/>
      <c r="R602" s="23"/>
    </row>
    <row r="603" ht="15.75" customHeight="1">
      <c r="Q603" s="23"/>
      <c r="R603" s="23"/>
    </row>
    <row r="604" ht="15.75" customHeight="1">
      <c r="Q604" s="23"/>
      <c r="R604" s="23"/>
    </row>
    <row r="605" ht="15.75" customHeight="1">
      <c r="Q605" s="23"/>
      <c r="R605" s="23"/>
    </row>
    <row r="606" ht="15.75" customHeight="1">
      <c r="Q606" s="23"/>
      <c r="R606" s="23"/>
    </row>
    <row r="607" ht="15.75" customHeight="1">
      <c r="Q607" s="23"/>
      <c r="R607" s="23"/>
    </row>
    <row r="608" ht="15.75" customHeight="1">
      <c r="Q608" s="23"/>
      <c r="R608" s="23"/>
    </row>
    <row r="609" ht="15.75" customHeight="1">
      <c r="Q609" s="23"/>
      <c r="R609" s="23"/>
    </row>
    <row r="610" ht="15.75" customHeight="1">
      <c r="Q610" s="23"/>
      <c r="R610" s="23"/>
    </row>
    <row r="611" ht="15.75" customHeight="1">
      <c r="Q611" s="23"/>
      <c r="R611" s="23"/>
    </row>
    <row r="612" ht="15.75" customHeight="1">
      <c r="Q612" s="23"/>
      <c r="R612" s="23"/>
    </row>
    <row r="613" ht="15.75" customHeight="1">
      <c r="Q613" s="23"/>
      <c r="R613" s="23"/>
    </row>
    <row r="614" ht="15.75" customHeight="1">
      <c r="Q614" s="23"/>
      <c r="R614" s="23"/>
    </row>
    <row r="615" ht="15.75" customHeight="1">
      <c r="Q615" s="23"/>
      <c r="R615" s="23"/>
    </row>
    <row r="616" ht="15.75" customHeight="1">
      <c r="Q616" s="23"/>
      <c r="R616" s="23"/>
    </row>
    <row r="617" ht="15.75" customHeight="1">
      <c r="Q617" s="23"/>
      <c r="R617" s="23"/>
    </row>
    <row r="618" ht="15.75" customHeight="1">
      <c r="Q618" s="23"/>
      <c r="R618" s="23"/>
    </row>
    <row r="619" ht="15.75" customHeight="1">
      <c r="Q619" s="23"/>
      <c r="R619" s="23"/>
    </row>
    <row r="620" ht="15.75" customHeight="1">
      <c r="Q620" s="23"/>
      <c r="R620" s="23"/>
    </row>
    <row r="621" ht="15.75" customHeight="1">
      <c r="Q621" s="23"/>
      <c r="R621" s="23"/>
    </row>
    <row r="622" ht="15.75" customHeight="1">
      <c r="Q622" s="23"/>
      <c r="R622" s="23"/>
    </row>
    <row r="623" ht="15.75" customHeight="1">
      <c r="Q623" s="23"/>
      <c r="R623" s="23"/>
    </row>
    <row r="624" ht="15.75" customHeight="1">
      <c r="Q624" s="23"/>
      <c r="R624" s="23"/>
    </row>
    <row r="625" ht="15.75" customHeight="1">
      <c r="Q625" s="23"/>
      <c r="R625" s="23"/>
    </row>
    <row r="626" ht="15.75" customHeight="1">
      <c r="Q626" s="23"/>
      <c r="R626" s="23"/>
    </row>
    <row r="627" ht="15.75" customHeight="1">
      <c r="Q627" s="23"/>
      <c r="R627" s="23"/>
    </row>
    <row r="628" ht="15.75" customHeight="1">
      <c r="Q628" s="23"/>
      <c r="R628" s="23"/>
    </row>
    <row r="629" ht="15.75" customHeight="1">
      <c r="Q629" s="23"/>
      <c r="R629" s="23"/>
    </row>
    <row r="630" ht="15.75" customHeight="1">
      <c r="Q630" s="23"/>
      <c r="R630" s="23"/>
    </row>
    <row r="631" ht="15.75" customHeight="1">
      <c r="Q631" s="23"/>
      <c r="R631" s="23"/>
    </row>
    <row r="632" ht="15.75" customHeight="1">
      <c r="Q632" s="23"/>
      <c r="R632" s="23"/>
    </row>
    <row r="633" ht="15.75" customHeight="1">
      <c r="Q633" s="23"/>
      <c r="R633" s="23"/>
    </row>
    <row r="634" ht="15.75" customHeight="1">
      <c r="Q634" s="23"/>
      <c r="R634" s="23"/>
    </row>
    <row r="635" ht="15.75" customHeight="1">
      <c r="Q635" s="23"/>
      <c r="R635" s="23"/>
    </row>
    <row r="636" ht="15.75" customHeight="1">
      <c r="Q636" s="23"/>
      <c r="R636" s="23"/>
    </row>
    <row r="637" ht="15.75" customHeight="1">
      <c r="Q637" s="23"/>
      <c r="R637" s="23"/>
    </row>
    <row r="638" ht="15.75" customHeight="1">
      <c r="Q638" s="23"/>
      <c r="R638" s="23"/>
    </row>
    <row r="639" ht="15.75" customHeight="1">
      <c r="Q639" s="23"/>
      <c r="R639" s="23"/>
    </row>
    <row r="640" ht="15.75" customHeight="1">
      <c r="Q640" s="23"/>
      <c r="R640" s="23"/>
    </row>
    <row r="641" ht="15.75" customHeight="1">
      <c r="Q641" s="23"/>
      <c r="R641" s="23"/>
    </row>
    <row r="642" ht="15.75" customHeight="1">
      <c r="Q642" s="23"/>
      <c r="R642" s="23"/>
    </row>
    <row r="643" ht="15.75" customHeight="1">
      <c r="Q643" s="23"/>
      <c r="R643" s="23"/>
    </row>
    <row r="644" ht="15.75" customHeight="1">
      <c r="Q644" s="23"/>
      <c r="R644" s="23"/>
    </row>
    <row r="645" ht="15.75" customHeight="1">
      <c r="Q645" s="23"/>
      <c r="R645" s="23"/>
    </row>
    <row r="646" ht="15.75" customHeight="1">
      <c r="Q646" s="23"/>
      <c r="R646" s="23"/>
    </row>
    <row r="647" ht="15.75" customHeight="1">
      <c r="Q647" s="23"/>
      <c r="R647" s="23"/>
    </row>
    <row r="648" ht="15.75" customHeight="1">
      <c r="Q648" s="23"/>
      <c r="R648" s="23"/>
    </row>
    <row r="649" ht="15.75" customHeight="1">
      <c r="Q649" s="23"/>
      <c r="R649" s="23"/>
    </row>
    <row r="650" ht="15.75" customHeight="1">
      <c r="Q650" s="23"/>
      <c r="R650" s="23"/>
    </row>
    <row r="651" ht="15.75" customHeight="1">
      <c r="Q651" s="23"/>
      <c r="R651" s="23"/>
    </row>
    <row r="652" ht="15.75" customHeight="1">
      <c r="Q652" s="23"/>
      <c r="R652" s="23"/>
    </row>
    <row r="653" ht="15.75" customHeight="1">
      <c r="Q653" s="23"/>
      <c r="R653" s="23"/>
    </row>
    <row r="654" ht="15.75" customHeight="1">
      <c r="Q654" s="23"/>
      <c r="R654" s="23"/>
    </row>
    <row r="655" ht="15.75" customHeight="1">
      <c r="Q655" s="23"/>
      <c r="R655" s="23"/>
    </row>
    <row r="656" ht="15.75" customHeight="1">
      <c r="Q656" s="23"/>
      <c r="R656" s="23"/>
    </row>
    <row r="657" ht="15.75" customHeight="1">
      <c r="Q657" s="23"/>
      <c r="R657" s="23"/>
    </row>
    <row r="658" ht="15.75" customHeight="1">
      <c r="Q658" s="23"/>
      <c r="R658" s="23"/>
    </row>
    <row r="659" ht="15.75" customHeight="1">
      <c r="Q659" s="23"/>
      <c r="R659" s="23"/>
    </row>
    <row r="660" ht="15.75" customHeight="1">
      <c r="Q660" s="23"/>
      <c r="R660" s="23"/>
    </row>
    <row r="661" ht="15.75" customHeight="1">
      <c r="Q661" s="23"/>
      <c r="R661" s="23"/>
    </row>
    <row r="662" ht="15.75" customHeight="1">
      <c r="Q662" s="23"/>
      <c r="R662" s="23"/>
    </row>
    <row r="663" ht="15.75" customHeight="1">
      <c r="Q663" s="23"/>
      <c r="R663" s="23"/>
    </row>
    <row r="664" ht="15.75" customHeight="1">
      <c r="Q664" s="23"/>
      <c r="R664" s="23"/>
    </row>
    <row r="665" ht="15.75" customHeight="1">
      <c r="Q665" s="23"/>
      <c r="R665" s="23"/>
    </row>
    <row r="666" ht="15.75" customHeight="1">
      <c r="Q666" s="23"/>
      <c r="R666" s="23"/>
    </row>
    <row r="667" ht="15.75" customHeight="1">
      <c r="Q667" s="23"/>
      <c r="R667" s="23"/>
    </row>
    <row r="668" ht="15.75" customHeight="1">
      <c r="Q668" s="23"/>
      <c r="R668" s="23"/>
    </row>
    <row r="669" ht="15.75" customHeight="1">
      <c r="Q669" s="23"/>
      <c r="R669" s="23"/>
    </row>
    <row r="670" ht="15.75" customHeight="1">
      <c r="Q670" s="23"/>
      <c r="R670" s="23"/>
    </row>
    <row r="671" ht="15.75" customHeight="1">
      <c r="Q671" s="23"/>
      <c r="R671" s="23"/>
    </row>
    <row r="672" ht="15.75" customHeight="1">
      <c r="Q672" s="23"/>
      <c r="R672" s="23"/>
    </row>
    <row r="673" ht="15.75" customHeight="1">
      <c r="Q673" s="23"/>
      <c r="R673" s="23"/>
    </row>
    <row r="674" ht="15.75" customHeight="1">
      <c r="Q674" s="23"/>
      <c r="R674" s="23"/>
    </row>
    <row r="675" ht="15.75" customHeight="1">
      <c r="Q675" s="23"/>
      <c r="R675" s="23"/>
    </row>
    <row r="676" ht="15.75" customHeight="1">
      <c r="Q676" s="23"/>
      <c r="R676" s="23"/>
    </row>
    <row r="677" ht="15.75" customHeight="1">
      <c r="Q677" s="23"/>
      <c r="R677" s="23"/>
    </row>
    <row r="678" ht="15.75" customHeight="1">
      <c r="Q678" s="23"/>
      <c r="R678" s="23"/>
    </row>
    <row r="679" ht="15.75" customHeight="1">
      <c r="Q679" s="23"/>
      <c r="R679" s="23"/>
    </row>
    <row r="680" ht="15.75" customHeight="1">
      <c r="Q680" s="23"/>
      <c r="R680" s="23"/>
    </row>
    <row r="681" ht="15.75" customHeight="1">
      <c r="Q681" s="23"/>
      <c r="R681" s="23"/>
    </row>
    <row r="682" ht="15.75" customHeight="1">
      <c r="Q682" s="23"/>
      <c r="R682" s="23"/>
    </row>
    <row r="683" ht="15.75" customHeight="1">
      <c r="Q683" s="23"/>
      <c r="R683" s="23"/>
    </row>
    <row r="684" ht="15.75" customHeight="1">
      <c r="Q684" s="23"/>
      <c r="R684" s="23"/>
    </row>
    <row r="685" ht="15.75" customHeight="1">
      <c r="Q685" s="23"/>
      <c r="R685" s="23"/>
    </row>
    <row r="686" ht="15.75" customHeight="1">
      <c r="Q686" s="23"/>
      <c r="R686" s="23"/>
    </row>
    <row r="687" ht="15.75" customHeight="1">
      <c r="Q687" s="23"/>
      <c r="R687" s="23"/>
    </row>
    <row r="688" ht="15.75" customHeight="1">
      <c r="Q688" s="23"/>
      <c r="R688" s="23"/>
    </row>
    <row r="689" ht="15.75" customHeight="1">
      <c r="Q689" s="23"/>
      <c r="R689" s="23"/>
    </row>
    <row r="690" ht="15.75" customHeight="1">
      <c r="Q690" s="23"/>
      <c r="R690" s="23"/>
    </row>
    <row r="691" ht="15.75" customHeight="1">
      <c r="Q691" s="23"/>
      <c r="R691" s="23"/>
    </row>
    <row r="692" ht="15.75" customHeight="1">
      <c r="Q692" s="23"/>
      <c r="R692" s="23"/>
    </row>
    <row r="693" ht="15.75" customHeight="1">
      <c r="Q693" s="23"/>
      <c r="R693" s="23"/>
    </row>
    <row r="694" ht="15.75" customHeight="1">
      <c r="Q694" s="23"/>
      <c r="R694" s="23"/>
    </row>
    <row r="695" ht="15.75" customHeight="1">
      <c r="Q695" s="23"/>
      <c r="R695" s="23"/>
    </row>
    <row r="696" ht="15.75" customHeight="1">
      <c r="Q696" s="23"/>
      <c r="R696" s="23"/>
    </row>
    <row r="697" ht="15.75" customHeight="1">
      <c r="Q697" s="23"/>
      <c r="R697" s="23"/>
    </row>
    <row r="698" ht="15.75" customHeight="1">
      <c r="Q698" s="23"/>
      <c r="R698" s="23"/>
    </row>
    <row r="699" ht="15.75" customHeight="1">
      <c r="Q699" s="23"/>
      <c r="R699" s="23"/>
    </row>
    <row r="700" ht="15.75" customHeight="1">
      <c r="Q700" s="23"/>
      <c r="R700" s="23"/>
    </row>
    <row r="701" ht="15.75" customHeight="1">
      <c r="Q701" s="23"/>
      <c r="R701" s="23"/>
    </row>
    <row r="702" ht="15.75" customHeight="1">
      <c r="Q702" s="23"/>
      <c r="R702" s="23"/>
    </row>
    <row r="703" ht="15.75" customHeight="1">
      <c r="Q703" s="23"/>
      <c r="R703" s="23"/>
    </row>
    <row r="704" ht="15.75" customHeight="1">
      <c r="Q704" s="23"/>
      <c r="R704" s="23"/>
    </row>
    <row r="705" ht="15.75" customHeight="1">
      <c r="Q705" s="23"/>
      <c r="R705" s="23"/>
    </row>
    <row r="706" ht="15.75" customHeight="1">
      <c r="Q706" s="23"/>
      <c r="R706" s="23"/>
    </row>
    <row r="707" ht="15.75" customHeight="1">
      <c r="Q707" s="23"/>
      <c r="R707" s="23"/>
    </row>
    <row r="708" ht="15.75" customHeight="1">
      <c r="Q708" s="23"/>
      <c r="R708" s="23"/>
    </row>
    <row r="709" ht="15.75" customHeight="1">
      <c r="Q709" s="23"/>
      <c r="R709" s="23"/>
    </row>
    <row r="710" ht="15.75" customHeight="1">
      <c r="Q710" s="23"/>
      <c r="R710" s="23"/>
    </row>
    <row r="711" ht="15.75" customHeight="1">
      <c r="Q711" s="23"/>
      <c r="R711" s="23"/>
    </row>
    <row r="712" ht="15.75" customHeight="1">
      <c r="Q712" s="23"/>
      <c r="R712" s="23"/>
    </row>
    <row r="713" ht="15.75" customHeight="1">
      <c r="Q713" s="23"/>
      <c r="R713" s="23"/>
    </row>
    <row r="714" ht="15.75" customHeight="1">
      <c r="Q714" s="23"/>
      <c r="R714" s="23"/>
    </row>
    <row r="715" ht="15.75" customHeight="1">
      <c r="Q715" s="23"/>
      <c r="R715" s="23"/>
    </row>
    <row r="716" ht="15.75" customHeight="1">
      <c r="Q716" s="23"/>
      <c r="R716" s="23"/>
    </row>
    <row r="717" ht="15.75" customHeight="1">
      <c r="Q717" s="23"/>
      <c r="R717" s="23"/>
    </row>
    <row r="718" ht="15.75" customHeight="1">
      <c r="Q718" s="23"/>
      <c r="R718" s="23"/>
    </row>
    <row r="719" ht="15.75" customHeight="1">
      <c r="Q719" s="23"/>
      <c r="R719" s="23"/>
    </row>
    <row r="720" ht="15.75" customHeight="1">
      <c r="Q720" s="23"/>
      <c r="R720" s="23"/>
    </row>
    <row r="721" ht="15.75" customHeight="1">
      <c r="Q721" s="23"/>
      <c r="R721" s="23"/>
    </row>
    <row r="722" ht="15.75" customHeight="1">
      <c r="Q722" s="23"/>
      <c r="R722" s="23"/>
    </row>
    <row r="723" ht="15.75" customHeight="1">
      <c r="Q723" s="23"/>
      <c r="R723" s="23"/>
    </row>
    <row r="724" ht="15.75" customHeight="1">
      <c r="Q724" s="23"/>
      <c r="R724" s="23"/>
    </row>
    <row r="725" ht="15.75" customHeight="1">
      <c r="Q725" s="23"/>
      <c r="R725" s="23"/>
    </row>
    <row r="726" ht="15.75" customHeight="1">
      <c r="Q726" s="23"/>
      <c r="R726" s="23"/>
    </row>
    <row r="727" ht="15.75" customHeight="1">
      <c r="Q727" s="23"/>
      <c r="R727" s="23"/>
    </row>
    <row r="728" ht="15.75" customHeight="1">
      <c r="Q728" s="23"/>
      <c r="R728" s="23"/>
    </row>
    <row r="729" ht="15.75" customHeight="1">
      <c r="Q729" s="23"/>
      <c r="R729" s="23"/>
    </row>
    <row r="730" ht="15.75" customHeight="1">
      <c r="Q730" s="23"/>
      <c r="R730" s="23"/>
    </row>
    <row r="731" ht="15.75" customHeight="1">
      <c r="Q731" s="23"/>
      <c r="R731" s="23"/>
    </row>
    <row r="732" ht="15.75" customHeight="1">
      <c r="Q732" s="23"/>
      <c r="R732" s="23"/>
    </row>
    <row r="733" ht="15.75" customHeight="1">
      <c r="Q733" s="23"/>
      <c r="R733" s="23"/>
    </row>
    <row r="734" ht="15.75" customHeight="1">
      <c r="Q734" s="23"/>
      <c r="R734" s="23"/>
    </row>
    <row r="735" ht="15.75" customHeight="1">
      <c r="Q735" s="23"/>
      <c r="R735" s="23"/>
    </row>
    <row r="736" ht="15.75" customHeight="1">
      <c r="Q736" s="23"/>
      <c r="R736" s="23"/>
    </row>
    <row r="737" ht="15.75" customHeight="1">
      <c r="Q737" s="23"/>
      <c r="R737" s="23"/>
    </row>
    <row r="738" ht="15.75" customHeight="1">
      <c r="Q738" s="23"/>
      <c r="R738" s="23"/>
    </row>
    <row r="739" ht="15.75" customHeight="1">
      <c r="Q739" s="23"/>
      <c r="R739" s="23"/>
    </row>
    <row r="740" ht="15.75" customHeight="1">
      <c r="Q740" s="23"/>
      <c r="R740" s="23"/>
    </row>
    <row r="741" ht="15.75" customHeight="1">
      <c r="Q741" s="23"/>
      <c r="R741" s="23"/>
    </row>
    <row r="742" ht="15.75" customHeight="1">
      <c r="Q742" s="23"/>
      <c r="R742" s="23"/>
    </row>
    <row r="743" ht="15.75" customHeight="1">
      <c r="Q743" s="23"/>
      <c r="R743" s="23"/>
    </row>
    <row r="744" ht="15.75" customHeight="1">
      <c r="Q744" s="23"/>
      <c r="R744" s="23"/>
    </row>
    <row r="745" ht="15.75" customHeight="1">
      <c r="Q745" s="23"/>
      <c r="R745" s="23"/>
    </row>
    <row r="746" ht="15.75" customHeight="1">
      <c r="Q746" s="23"/>
      <c r="R746" s="23"/>
    </row>
    <row r="747" ht="15.75" customHeight="1">
      <c r="Q747" s="23"/>
      <c r="R747" s="23"/>
    </row>
    <row r="748" ht="15.75" customHeight="1">
      <c r="Q748" s="23"/>
      <c r="R748" s="23"/>
    </row>
    <row r="749" ht="15.75" customHeight="1">
      <c r="Q749" s="23"/>
      <c r="R749" s="23"/>
    </row>
    <row r="750" ht="15.75" customHeight="1">
      <c r="Q750" s="23"/>
      <c r="R750" s="23"/>
    </row>
    <row r="751" ht="15.75" customHeight="1">
      <c r="Q751" s="23"/>
      <c r="R751" s="23"/>
    </row>
    <row r="752" ht="15.75" customHeight="1">
      <c r="Q752" s="23"/>
      <c r="R752" s="23"/>
    </row>
    <row r="753" ht="15.75" customHeight="1">
      <c r="Q753" s="23"/>
      <c r="R753" s="23"/>
    </row>
    <row r="754" ht="15.75" customHeight="1">
      <c r="Q754" s="23"/>
      <c r="R754" s="23"/>
    </row>
    <row r="755" ht="15.75" customHeight="1">
      <c r="Q755" s="23"/>
      <c r="R755" s="23"/>
    </row>
    <row r="756" ht="15.75" customHeight="1">
      <c r="Q756" s="23"/>
      <c r="R756" s="23"/>
    </row>
    <row r="757" ht="15.75" customHeight="1">
      <c r="Q757" s="23"/>
      <c r="R757" s="23"/>
    </row>
    <row r="758" ht="15.75" customHeight="1">
      <c r="Q758" s="23"/>
      <c r="R758" s="23"/>
    </row>
    <row r="759" ht="15.75" customHeight="1">
      <c r="Q759" s="23"/>
      <c r="R759" s="23"/>
    </row>
    <row r="760" ht="15.75" customHeight="1">
      <c r="Q760" s="23"/>
      <c r="R760" s="23"/>
    </row>
    <row r="761" ht="15.75" customHeight="1">
      <c r="Q761" s="23"/>
      <c r="R761" s="23"/>
    </row>
    <row r="762" ht="15.75" customHeight="1">
      <c r="Q762" s="23"/>
      <c r="R762" s="23"/>
    </row>
    <row r="763" ht="15.75" customHeight="1">
      <c r="Q763" s="23"/>
      <c r="R763" s="23"/>
    </row>
    <row r="764" ht="15.75" customHeight="1">
      <c r="Q764" s="23"/>
      <c r="R764" s="23"/>
    </row>
    <row r="765" ht="15.75" customHeight="1">
      <c r="Q765" s="23"/>
      <c r="R765" s="23"/>
    </row>
    <row r="766" ht="15.75" customHeight="1">
      <c r="Q766" s="23"/>
      <c r="R766" s="23"/>
    </row>
    <row r="767" ht="15.75" customHeight="1">
      <c r="Q767" s="23"/>
      <c r="R767" s="23"/>
    </row>
    <row r="768" ht="15.75" customHeight="1">
      <c r="Q768" s="23"/>
      <c r="R768" s="23"/>
    </row>
    <row r="769" ht="15.75" customHeight="1">
      <c r="Q769" s="23"/>
      <c r="R769" s="23"/>
    </row>
    <row r="770" ht="15.75" customHeight="1">
      <c r="Q770" s="23"/>
      <c r="R770" s="23"/>
    </row>
    <row r="771" ht="15.75" customHeight="1">
      <c r="Q771" s="23"/>
      <c r="R771" s="23"/>
    </row>
    <row r="772" ht="15.75" customHeight="1">
      <c r="Q772" s="23"/>
      <c r="R772" s="23"/>
    </row>
    <row r="773" ht="15.75" customHeight="1">
      <c r="Q773" s="23"/>
      <c r="R773" s="23"/>
    </row>
    <row r="774" ht="15.75" customHeight="1">
      <c r="Q774" s="23"/>
      <c r="R774" s="23"/>
    </row>
    <row r="775" ht="15.75" customHeight="1">
      <c r="Q775" s="23"/>
      <c r="R775" s="23"/>
    </row>
    <row r="776" ht="15.75" customHeight="1">
      <c r="Q776" s="23"/>
      <c r="R776" s="23"/>
    </row>
    <row r="777" ht="15.75" customHeight="1">
      <c r="Q777" s="23"/>
      <c r="R777" s="23"/>
    </row>
    <row r="778" ht="15.75" customHeight="1">
      <c r="Q778" s="23"/>
      <c r="R778" s="23"/>
    </row>
    <row r="779" ht="15.75" customHeight="1">
      <c r="Q779" s="23"/>
      <c r="R779" s="23"/>
    </row>
    <row r="780" ht="15.75" customHeight="1">
      <c r="Q780" s="23"/>
      <c r="R780" s="23"/>
    </row>
    <row r="781" ht="15.75" customHeight="1">
      <c r="Q781" s="23"/>
      <c r="R781" s="23"/>
    </row>
    <row r="782" ht="15.75" customHeight="1">
      <c r="Q782" s="23"/>
      <c r="R782" s="23"/>
    </row>
    <row r="783" ht="15.75" customHeight="1">
      <c r="Q783" s="23"/>
      <c r="R783" s="23"/>
    </row>
    <row r="784" ht="15.75" customHeight="1">
      <c r="Q784" s="23"/>
      <c r="R784" s="23"/>
    </row>
    <row r="785" ht="15.75" customHeight="1">
      <c r="Q785" s="23"/>
      <c r="R785" s="23"/>
    </row>
    <row r="786" ht="15.75" customHeight="1">
      <c r="Q786" s="23"/>
      <c r="R786" s="23"/>
    </row>
    <row r="787" ht="15.75" customHeight="1">
      <c r="Q787" s="23"/>
      <c r="R787" s="23"/>
    </row>
    <row r="788" ht="15.75" customHeight="1">
      <c r="Q788" s="23"/>
      <c r="R788" s="23"/>
    </row>
    <row r="789" ht="15.75" customHeight="1">
      <c r="Q789" s="23"/>
      <c r="R789" s="23"/>
    </row>
    <row r="790" ht="15.75" customHeight="1">
      <c r="Q790" s="23"/>
      <c r="R790" s="23"/>
    </row>
    <row r="791" ht="15.75" customHeight="1">
      <c r="Q791" s="23"/>
      <c r="R791" s="23"/>
    </row>
    <row r="792" ht="15.75" customHeight="1">
      <c r="Q792" s="23"/>
      <c r="R792" s="23"/>
    </row>
    <row r="793" ht="15.75" customHeight="1">
      <c r="Q793" s="23"/>
      <c r="R793" s="23"/>
    </row>
    <row r="794" ht="15.75" customHeight="1">
      <c r="Q794" s="23"/>
      <c r="R794" s="23"/>
    </row>
    <row r="795" ht="15.75" customHeight="1">
      <c r="Q795" s="23"/>
      <c r="R795" s="23"/>
    </row>
    <row r="796" ht="15.75" customHeight="1">
      <c r="Q796" s="23"/>
      <c r="R796" s="23"/>
    </row>
    <row r="797" ht="15.75" customHeight="1">
      <c r="Q797" s="23"/>
      <c r="R797" s="23"/>
    </row>
    <row r="798" ht="15.75" customHeight="1">
      <c r="Q798" s="23"/>
      <c r="R798" s="23"/>
    </row>
    <row r="799" ht="15.75" customHeight="1">
      <c r="Q799" s="23"/>
      <c r="R799" s="23"/>
    </row>
    <row r="800" ht="15.75" customHeight="1">
      <c r="Q800" s="23"/>
      <c r="R800" s="23"/>
    </row>
    <row r="801" ht="15.75" customHeight="1">
      <c r="Q801" s="23"/>
      <c r="R801" s="23"/>
    </row>
    <row r="802" ht="15.75" customHeight="1">
      <c r="Q802" s="23"/>
      <c r="R802" s="23"/>
    </row>
    <row r="803" ht="15.75" customHeight="1">
      <c r="Q803" s="23"/>
      <c r="R803" s="23"/>
    </row>
    <row r="804" ht="15.75" customHeight="1">
      <c r="Q804" s="23"/>
      <c r="R804" s="23"/>
    </row>
    <row r="805" ht="15.75" customHeight="1">
      <c r="Q805" s="23"/>
      <c r="R805" s="23"/>
    </row>
    <row r="806" ht="15.75" customHeight="1">
      <c r="Q806" s="23"/>
      <c r="R806" s="23"/>
    </row>
    <row r="807" ht="15.75" customHeight="1">
      <c r="Q807" s="23"/>
      <c r="R807" s="23"/>
    </row>
    <row r="808" ht="15.75" customHeight="1">
      <c r="Q808" s="23"/>
      <c r="R808" s="23"/>
    </row>
    <row r="809" ht="15.75" customHeight="1">
      <c r="Q809" s="23"/>
      <c r="R809" s="23"/>
    </row>
    <row r="810" ht="15.75" customHeight="1">
      <c r="Q810" s="23"/>
      <c r="R810" s="23"/>
    </row>
    <row r="811" ht="15.75" customHeight="1">
      <c r="Q811" s="23"/>
      <c r="R811" s="23"/>
    </row>
    <row r="812" ht="15.75" customHeight="1">
      <c r="Q812" s="23"/>
      <c r="R812" s="23"/>
    </row>
    <row r="813" ht="15.75" customHeight="1">
      <c r="Q813" s="23"/>
      <c r="R813" s="23"/>
    </row>
    <row r="814" ht="15.75" customHeight="1">
      <c r="Q814" s="23"/>
      <c r="R814" s="23"/>
    </row>
    <row r="815" ht="15.75" customHeight="1">
      <c r="Q815" s="23"/>
      <c r="R815" s="23"/>
    </row>
    <row r="816" ht="15.75" customHeight="1">
      <c r="Q816" s="23"/>
      <c r="R816" s="23"/>
    </row>
    <row r="817" ht="15.75" customHeight="1">
      <c r="Q817" s="23"/>
      <c r="R817" s="23"/>
    </row>
    <row r="818" ht="15.75" customHeight="1">
      <c r="Q818" s="23"/>
      <c r="R818" s="23"/>
    </row>
    <row r="819" ht="15.75" customHeight="1">
      <c r="Q819" s="23"/>
      <c r="R819" s="23"/>
    </row>
    <row r="820" ht="15.75" customHeight="1">
      <c r="Q820" s="23"/>
      <c r="R820" s="23"/>
    </row>
    <row r="821" ht="15.75" customHeight="1">
      <c r="Q821" s="23"/>
      <c r="R821" s="23"/>
    </row>
    <row r="822" ht="15.75" customHeight="1">
      <c r="Q822" s="23"/>
      <c r="R822" s="23"/>
    </row>
    <row r="823" ht="15.75" customHeight="1">
      <c r="Q823" s="23"/>
      <c r="R823" s="23"/>
    </row>
    <row r="824" ht="15.75" customHeight="1">
      <c r="Q824" s="23"/>
      <c r="R824" s="23"/>
    </row>
    <row r="825" ht="15.75" customHeight="1">
      <c r="Q825" s="23"/>
      <c r="R825" s="23"/>
    </row>
    <row r="826" ht="15.75" customHeight="1">
      <c r="Q826" s="23"/>
      <c r="R826" s="23"/>
    </row>
    <row r="827" ht="15.75" customHeight="1">
      <c r="Q827" s="23"/>
      <c r="R827" s="23"/>
    </row>
    <row r="828" ht="15.75" customHeight="1">
      <c r="Q828" s="23"/>
      <c r="R828" s="23"/>
    </row>
    <row r="829" ht="15.75" customHeight="1">
      <c r="Q829" s="23"/>
      <c r="R829" s="23"/>
    </row>
    <row r="830" ht="15.75" customHeight="1">
      <c r="Q830" s="23"/>
      <c r="R830" s="23"/>
    </row>
    <row r="831" ht="15.75" customHeight="1">
      <c r="Q831" s="23"/>
      <c r="R831" s="23"/>
    </row>
    <row r="832" ht="15.75" customHeight="1">
      <c r="Q832" s="23"/>
      <c r="R832" s="23"/>
    </row>
    <row r="833" ht="15.75" customHeight="1">
      <c r="Q833" s="23"/>
      <c r="R833" s="23"/>
    </row>
    <row r="834" ht="15.75" customHeight="1">
      <c r="Q834" s="23"/>
      <c r="R834" s="23"/>
    </row>
    <row r="835" ht="15.75" customHeight="1">
      <c r="Q835" s="23"/>
      <c r="R835" s="23"/>
    </row>
    <row r="836" ht="15.75" customHeight="1">
      <c r="Q836" s="23"/>
      <c r="R836" s="23"/>
    </row>
    <row r="837" ht="15.75" customHeight="1">
      <c r="Q837" s="23"/>
      <c r="R837" s="23"/>
    </row>
    <row r="838" ht="15.75" customHeight="1">
      <c r="Q838" s="23"/>
      <c r="R838" s="23"/>
    </row>
    <row r="839" ht="15.75" customHeight="1">
      <c r="Q839" s="23"/>
      <c r="R839" s="23"/>
    </row>
    <row r="840" ht="15.75" customHeight="1">
      <c r="Q840" s="23"/>
      <c r="R840" s="23"/>
    </row>
    <row r="841" ht="15.75" customHeight="1">
      <c r="Q841" s="23"/>
      <c r="R841" s="23"/>
    </row>
    <row r="842" ht="15.75" customHeight="1">
      <c r="Q842" s="23"/>
      <c r="R842" s="23"/>
    </row>
    <row r="843" ht="15.75" customHeight="1">
      <c r="Q843" s="23"/>
      <c r="R843" s="23"/>
    </row>
    <row r="844" ht="15.75" customHeight="1">
      <c r="Q844" s="23"/>
      <c r="R844" s="23"/>
    </row>
    <row r="845" ht="15.75" customHeight="1">
      <c r="Q845" s="23"/>
      <c r="R845" s="23"/>
    </row>
    <row r="846" ht="15.75" customHeight="1">
      <c r="Q846" s="23"/>
      <c r="R846" s="23"/>
    </row>
    <row r="847" ht="15.75" customHeight="1">
      <c r="Q847" s="23"/>
      <c r="R847" s="23"/>
    </row>
    <row r="848" ht="15.75" customHeight="1">
      <c r="Q848" s="23"/>
      <c r="R848" s="23"/>
    </row>
    <row r="849" ht="15.75" customHeight="1">
      <c r="Q849" s="23"/>
      <c r="R849" s="23"/>
    </row>
    <row r="850" ht="15.75" customHeight="1">
      <c r="Q850" s="23"/>
      <c r="R850" s="23"/>
    </row>
    <row r="851" ht="15.75" customHeight="1">
      <c r="Q851" s="23"/>
      <c r="R851" s="23"/>
    </row>
    <row r="852" ht="15.75" customHeight="1">
      <c r="Q852" s="23"/>
      <c r="R852" s="23"/>
    </row>
    <row r="853" ht="15.75" customHeight="1">
      <c r="Q853" s="23"/>
      <c r="R853" s="23"/>
    </row>
    <row r="854" ht="15.75" customHeight="1">
      <c r="Q854" s="23"/>
      <c r="R854" s="23"/>
    </row>
    <row r="855" ht="15.75" customHeight="1">
      <c r="Q855" s="23"/>
      <c r="R855" s="23"/>
    </row>
    <row r="856" ht="15.75" customHeight="1">
      <c r="Q856" s="23"/>
      <c r="R856" s="23"/>
    </row>
    <row r="857" ht="15.75" customHeight="1">
      <c r="Q857" s="23"/>
      <c r="R857" s="23"/>
    </row>
    <row r="858" ht="15.75" customHeight="1">
      <c r="Q858" s="23"/>
      <c r="R858" s="23"/>
    </row>
    <row r="859" ht="15.75" customHeight="1">
      <c r="Q859" s="23"/>
      <c r="R859" s="23"/>
    </row>
    <row r="860" ht="15.75" customHeight="1">
      <c r="Q860" s="23"/>
      <c r="R860" s="23"/>
    </row>
    <row r="861" ht="15.75" customHeight="1">
      <c r="Q861" s="23"/>
      <c r="R861" s="23"/>
    </row>
    <row r="862" ht="15.75" customHeight="1">
      <c r="Q862" s="23"/>
      <c r="R862" s="23"/>
    </row>
    <row r="863" ht="15.75" customHeight="1">
      <c r="Q863" s="23"/>
      <c r="R863" s="23"/>
    </row>
    <row r="864" ht="15.75" customHeight="1">
      <c r="Q864" s="23"/>
      <c r="R864" s="23"/>
    </row>
    <row r="865" ht="15.75" customHeight="1">
      <c r="Q865" s="23"/>
      <c r="R865" s="23"/>
    </row>
    <row r="866" ht="15.75" customHeight="1">
      <c r="Q866" s="23"/>
      <c r="R866" s="23"/>
    </row>
    <row r="867" ht="15.75" customHeight="1">
      <c r="Q867" s="23"/>
      <c r="R867" s="23"/>
    </row>
    <row r="868" ht="15.75" customHeight="1">
      <c r="Q868" s="23"/>
      <c r="R868" s="23"/>
    </row>
    <row r="869" ht="15.75" customHeight="1">
      <c r="Q869" s="23"/>
      <c r="R869" s="23"/>
    </row>
    <row r="870" ht="15.75" customHeight="1">
      <c r="Q870" s="23"/>
      <c r="R870" s="23"/>
    </row>
    <row r="871" ht="15.75" customHeight="1">
      <c r="Q871" s="23"/>
      <c r="R871" s="23"/>
    </row>
    <row r="872" ht="15.75" customHeight="1">
      <c r="Q872" s="23"/>
      <c r="R872" s="23"/>
    </row>
    <row r="873" ht="15.75" customHeight="1">
      <c r="Q873" s="23"/>
      <c r="R873" s="23"/>
    </row>
    <row r="874" ht="15.75" customHeight="1">
      <c r="Q874" s="23"/>
      <c r="R874" s="23"/>
    </row>
    <row r="875" ht="15.75" customHeight="1">
      <c r="Q875" s="23"/>
      <c r="R875" s="23"/>
    </row>
    <row r="876" ht="15.75" customHeight="1">
      <c r="Q876" s="23"/>
      <c r="R876" s="23"/>
    </row>
    <row r="877" ht="15.75" customHeight="1">
      <c r="Q877" s="23"/>
      <c r="R877" s="23"/>
    </row>
    <row r="878" ht="15.75" customHeight="1">
      <c r="Q878" s="23"/>
      <c r="R878" s="23"/>
    </row>
    <row r="879" ht="15.75" customHeight="1">
      <c r="Q879" s="23"/>
      <c r="R879" s="23"/>
    </row>
    <row r="880" ht="15.75" customHeight="1">
      <c r="Q880" s="23"/>
      <c r="R880" s="23"/>
    </row>
    <row r="881" ht="15.75" customHeight="1">
      <c r="Q881" s="23"/>
      <c r="R881" s="23"/>
    </row>
    <row r="882" ht="15.75" customHeight="1">
      <c r="Q882" s="23"/>
      <c r="R882" s="23"/>
    </row>
    <row r="883" ht="15.75" customHeight="1">
      <c r="Q883" s="23"/>
      <c r="R883" s="23"/>
    </row>
    <row r="884" ht="15.75" customHeight="1">
      <c r="Q884" s="23"/>
      <c r="R884" s="23"/>
    </row>
    <row r="885" ht="15.75" customHeight="1">
      <c r="Q885" s="23"/>
      <c r="R885" s="23"/>
    </row>
    <row r="886" ht="15.75" customHeight="1">
      <c r="Q886" s="23"/>
      <c r="R886" s="23"/>
    </row>
    <row r="887" ht="15.75" customHeight="1">
      <c r="Q887" s="23"/>
      <c r="R887" s="23"/>
    </row>
    <row r="888" ht="15.75" customHeight="1">
      <c r="Q888" s="23"/>
      <c r="R888" s="23"/>
    </row>
    <row r="889" ht="15.75" customHeight="1">
      <c r="Q889" s="23"/>
      <c r="R889" s="23"/>
    </row>
    <row r="890" ht="15.75" customHeight="1">
      <c r="Q890" s="23"/>
      <c r="R890" s="23"/>
    </row>
    <row r="891" ht="15.75" customHeight="1">
      <c r="Q891" s="23"/>
      <c r="R891" s="23"/>
    </row>
    <row r="892" ht="15.75" customHeight="1">
      <c r="Q892" s="23"/>
      <c r="R892" s="23"/>
    </row>
    <row r="893" ht="15.75" customHeight="1">
      <c r="Q893" s="23"/>
      <c r="R893" s="23"/>
    </row>
    <row r="894" ht="15.75" customHeight="1">
      <c r="Q894" s="23"/>
      <c r="R894" s="23"/>
    </row>
    <row r="895" ht="15.75" customHeight="1">
      <c r="Q895" s="23"/>
      <c r="R895" s="23"/>
    </row>
    <row r="896" ht="15.75" customHeight="1">
      <c r="Q896" s="23"/>
      <c r="R896" s="23"/>
    </row>
    <row r="897" ht="15.75" customHeight="1">
      <c r="Q897" s="23"/>
      <c r="R897" s="23"/>
    </row>
    <row r="898" ht="15.75" customHeight="1">
      <c r="Q898" s="23"/>
      <c r="R898" s="23"/>
    </row>
    <row r="899" ht="15.75" customHeight="1">
      <c r="Q899" s="23"/>
      <c r="R899" s="23"/>
    </row>
    <row r="900" ht="15.75" customHeight="1">
      <c r="Q900" s="23"/>
      <c r="R900" s="23"/>
    </row>
    <row r="901" ht="15.75" customHeight="1">
      <c r="Q901" s="23"/>
      <c r="R901" s="23"/>
    </row>
    <row r="902" ht="15.75" customHeight="1">
      <c r="Q902" s="23"/>
      <c r="R902" s="23"/>
    </row>
    <row r="903" ht="15.75" customHeight="1">
      <c r="Q903" s="23"/>
      <c r="R903" s="23"/>
    </row>
    <row r="904" ht="15.75" customHeight="1">
      <c r="Q904" s="23"/>
      <c r="R904" s="23"/>
    </row>
    <row r="905" ht="15.75" customHeight="1">
      <c r="Q905" s="23"/>
      <c r="R905" s="23"/>
    </row>
    <row r="906" ht="15.75" customHeight="1">
      <c r="Q906" s="23"/>
      <c r="R906" s="23"/>
    </row>
    <row r="907" ht="15.75" customHeight="1">
      <c r="Q907" s="23"/>
      <c r="R907" s="23"/>
    </row>
    <row r="908" ht="15.75" customHeight="1">
      <c r="Q908" s="23"/>
      <c r="R908" s="23"/>
    </row>
    <row r="909" ht="15.75" customHeight="1">
      <c r="Q909" s="23"/>
      <c r="R909" s="23"/>
    </row>
    <row r="910" ht="15.75" customHeight="1">
      <c r="Q910" s="23"/>
      <c r="R910" s="23"/>
    </row>
    <row r="911" ht="15.75" customHeight="1">
      <c r="Q911" s="23"/>
      <c r="R911" s="23"/>
    </row>
    <row r="912" ht="15.75" customHeight="1">
      <c r="Q912" s="23"/>
      <c r="R912" s="23"/>
    </row>
    <row r="913" ht="15.75" customHeight="1">
      <c r="Q913" s="23"/>
      <c r="R913" s="23"/>
    </row>
    <row r="914" ht="15.75" customHeight="1">
      <c r="Q914" s="23"/>
      <c r="R914" s="23"/>
    </row>
    <row r="915" ht="15.75" customHeight="1">
      <c r="Q915" s="23"/>
      <c r="R915" s="23"/>
    </row>
    <row r="916" ht="15.75" customHeight="1">
      <c r="Q916" s="23"/>
      <c r="R916" s="23"/>
    </row>
    <row r="917" ht="15.75" customHeight="1">
      <c r="Q917" s="23"/>
      <c r="R917" s="23"/>
    </row>
    <row r="918" ht="15.75" customHeight="1">
      <c r="Q918" s="23"/>
      <c r="R918" s="23"/>
    </row>
    <row r="919" ht="15.75" customHeight="1">
      <c r="Q919" s="23"/>
      <c r="R919" s="23"/>
    </row>
    <row r="920" ht="15.75" customHeight="1">
      <c r="Q920" s="23"/>
      <c r="R920" s="23"/>
    </row>
    <row r="921" ht="15.75" customHeight="1">
      <c r="Q921" s="23"/>
      <c r="R921" s="23"/>
    </row>
    <row r="922" ht="15.75" customHeight="1">
      <c r="Q922" s="23"/>
      <c r="R922" s="23"/>
    </row>
    <row r="923" ht="15.75" customHeight="1">
      <c r="Q923" s="23"/>
      <c r="R923" s="23"/>
    </row>
    <row r="924" ht="15.75" customHeight="1">
      <c r="Q924" s="23"/>
      <c r="R924" s="23"/>
    </row>
    <row r="925" ht="15.75" customHeight="1">
      <c r="Q925" s="23"/>
      <c r="R925" s="23"/>
    </row>
    <row r="926" ht="15.75" customHeight="1">
      <c r="Q926" s="23"/>
      <c r="R926" s="23"/>
    </row>
    <row r="927" ht="15.75" customHeight="1">
      <c r="Q927" s="23"/>
      <c r="R927" s="23"/>
    </row>
    <row r="928" ht="15.75" customHeight="1">
      <c r="Q928" s="23"/>
      <c r="R928" s="23"/>
    </row>
    <row r="929" ht="15.75" customHeight="1">
      <c r="Q929" s="23"/>
      <c r="R929" s="23"/>
    </row>
    <row r="930" ht="15.75" customHeight="1">
      <c r="Q930" s="23"/>
      <c r="R930" s="23"/>
    </row>
    <row r="931" ht="15.75" customHeight="1">
      <c r="Q931" s="23"/>
      <c r="R931" s="23"/>
    </row>
    <row r="932" ht="15.75" customHeight="1">
      <c r="Q932" s="23"/>
      <c r="R932" s="23"/>
    </row>
    <row r="933" ht="15.75" customHeight="1">
      <c r="Q933" s="23"/>
      <c r="R933" s="23"/>
    </row>
    <row r="934" ht="15.75" customHeight="1">
      <c r="Q934" s="23"/>
      <c r="R934" s="23"/>
    </row>
    <row r="935" ht="15.75" customHeight="1">
      <c r="Q935" s="23"/>
      <c r="R935" s="23"/>
    </row>
    <row r="936" ht="15.75" customHeight="1">
      <c r="Q936" s="23"/>
      <c r="R936" s="23"/>
    </row>
    <row r="937" ht="15.75" customHeight="1">
      <c r="Q937" s="23"/>
      <c r="R937" s="23"/>
    </row>
    <row r="938" ht="15.75" customHeight="1">
      <c r="Q938" s="23"/>
      <c r="R938" s="23"/>
    </row>
    <row r="939" ht="15.75" customHeight="1">
      <c r="Q939" s="23"/>
      <c r="R939" s="23"/>
    </row>
    <row r="940" ht="15.75" customHeight="1">
      <c r="Q940" s="23"/>
      <c r="R940" s="23"/>
    </row>
    <row r="941" ht="15.75" customHeight="1">
      <c r="Q941" s="23"/>
      <c r="R941" s="23"/>
    </row>
    <row r="942" ht="15.75" customHeight="1">
      <c r="Q942" s="23"/>
      <c r="R942" s="23"/>
    </row>
    <row r="943" ht="15.75" customHeight="1">
      <c r="Q943" s="23"/>
      <c r="R943" s="23"/>
    </row>
    <row r="944" ht="15.75" customHeight="1">
      <c r="Q944" s="23"/>
      <c r="R944" s="23"/>
    </row>
    <row r="945" ht="15.75" customHeight="1">
      <c r="Q945" s="23"/>
      <c r="R945" s="23"/>
    </row>
    <row r="946" ht="15.75" customHeight="1">
      <c r="Q946" s="23"/>
      <c r="R946" s="23"/>
    </row>
    <row r="947" ht="15.75" customHeight="1">
      <c r="Q947" s="23"/>
      <c r="R947" s="23"/>
    </row>
    <row r="948" ht="15.75" customHeight="1">
      <c r="Q948" s="23"/>
      <c r="R948" s="23"/>
    </row>
    <row r="949" ht="15.75" customHeight="1">
      <c r="Q949" s="23"/>
      <c r="R949" s="23"/>
    </row>
    <row r="950" ht="15.75" customHeight="1">
      <c r="Q950" s="23"/>
      <c r="R950" s="23"/>
    </row>
    <row r="951" ht="15.75" customHeight="1">
      <c r="Q951" s="23"/>
      <c r="R951" s="23"/>
    </row>
    <row r="952" ht="15.75" customHeight="1">
      <c r="Q952" s="23"/>
      <c r="R952" s="23"/>
    </row>
    <row r="953" ht="15.75" customHeight="1">
      <c r="Q953" s="23"/>
      <c r="R953" s="23"/>
    </row>
    <row r="954" ht="15.75" customHeight="1">
      <c r="Q954" s="23"/>
      <c r="R954" s="23"/>
    </row>
    <row r="955" ht="15.75" customHeight="1">
      <c r="Q955" s="23"/>
      <c r="R955" s="23"/>
    </row>
    <row r="956" ht="15.75" customHeight="1">
      <c r="Q956" s="23"/>
      <c r="R956" s="23"/>
    </row>
    <row r="957" ht="15.75" customHeight="1">
      <c r="Q957" s="23"/>
      <c r="R957" s="23"/>
    </row>
    <row r="958" ht="15.75" customHeight="1">
      <c r="Q958" s="23"/>
      <c r="R958" s="23"/>
    </row>
    <row r="959" ht="15.75" customHeight="1">
      <c r="Q959" s="23"/>
      <c r="R959" s="23"/>
    </row>
    <row r="960" ht="15.75" customHeight="1">
      <c r="Q960" s="23"/>
      <c r="R960" s="23"/>
    </row>
    <row r="961" ht="15.75" customHeight="1">
      <c r="Q961" s="23"/>
      <c r="R961" s="23"/>
    </row>
    <row r="962" ht="15.75" customHeight="1">
      <c r="Q962" s="23"/>
      <c r="R962" s="23"/>
    </row>
    <row r="963" ht="15.75" customHeight="1">
      <c r="Q963" s="23"/>
      <c r="R963" s="23"/>
    </row>
    <row r="964" ht="15.75" customHeight="1">
      <c r="Q964" s="23"/>
      <c r="R964" s="23"/>
    </row>
    <row r="965" ht="15.75" customHeight="1">
      <c r="Q965" s="23"/>
      <c r="R965" s="23"/>
    </row>
    <row r="966" ht="15.75" customHeight="1">
      <c r="Q966" s="23"/>
      <c r="R966" s="23"/>
    </row>
    <row r="967" ht="15.75" customHeight="1">
      <c r="Q967" s="23"/>
      <c r="R967" s="23"/>
    </row>
    <row r="968" ht="15.75" customHeight="1">
      <c r="Q968" s="23"/>
      <c r="R968" s="23"/>
    </row>
    <row r="969" ht="15.75" customHeight="1">
      <c r="Q969" s="23"/>
      <c r="R969" s="23"/>
    </row>
    <row r="970" ht="15.75" customHeight="1">
      <c r="Q970" s="23"/>
      <c r="R970" s="23"/>
    </row>
    <row r="971" ht="15.75" customHeight="1">
      <c r="Q971" s="23"/>
      <c r="R971" s="23"/>
    </row>
    <row r="972" ht="15.75" customHeight="1">
      <c r="Q972" s="23"/>
      <c r="R972" s="23"/>
    </row>
    <row r="973" ht="15.75" customHeight="1">
      <c r="Q973" s="23"/>
      <c r="R973" s="23"/>
    </row>
    <row r="974" ht="15.75" customHeight="1">
      <c r="Q974" s="23"/>
      <c r="R974" s="23"/>
    </row>
    <row r="975" ht="15.75" customHeight="1">
      <c r="Q975" s="23"/>
      <c r="R975" s="23"/>
    </row>
    <row r="976" ht="15.75" customHeight="1">
      <c r="Q976" s="23"/>
      <c r="R976" s="23"/>
    </row>
    <row r="977" ht="15.75" customHeight="1">
      <c r="Q977" s="23"/>
      <c r="R977" s="23"/>
    </row>
    <row r="978" ht="15.75" customHeight="1">
      <c r="Q978" s="23"/>
      <c r="R978" s="23"/>
    </row>
    <row r="979" ht="15.75" customHeight="1">
      <c r="Q979" s="23"/>
      <c r="R979" s="23"/>
    </row>
    <row r="980" ht="15.75" customHeight="1">
      <c r="Q980" s="23"/>
      <c r="R980" s="23"/>
    </row>
    <row r="981" ht="15.75" customHeight="1">
      <c r="Q981" s="23"/>
      <c r="R981" s="23"/>
    </row>
    <row r="982" ht="15.75" customHeight="1">
      <c r="Q982" s="23"/>
      <c r="R982" s="23"/>
    </row>
    <row r="983" ht="15.75" customHeight="1">
      <c r="Q983" s="23"/>
      <c r="R983" s="23"/>
    </row>
    <row r="984" ht="15.75" customHeight="1">
      <c r="Q984" s="23"/>
      <c r="R984" s="23"/>
    </row>
    <row r="985" ht="15.75" customHeight="1">
      <c r="Q985" s="23"/>
      <c r="R985" s="23"/>
    </row>
    <row r="986" ht="15.75" customHeight="1">
      <c r="Q986" s="23"/>
      <c r="R986" s="23"/>
    </row>
    <row r="987" ht="15.75" customHeight="1">
      <c r="Q987" s="23"/>
      <c r="R987" s="23"/>
    </row>
    <row r="988" ht="15.75" customHeight="1">
      <c r="Q988" s="23"/>
      <c r="R988" s="23"/>
    </row>
    <row r="989" ht="15.75" customHeight="1">
      <c r="Q989" s="23"/>
      <c r="R989" s="23"/>
    </row>
    <row r="990" ht="15.75" customHeight="1">
      <c r="Q990" s="23"/>
      <c r="R990" s="23"/>
    </row>
    <row r="991" ht="15.75" customHeight="1">
      <c r="Q991" s="23"/>
      <c r="R991" s="23"/>
    </row>
    <row r="992" ht="15.75" customHeight="1">
      <c r="Q992" s="23"/>
      <c r="R992" s="23"/>
    </row>
    <row r="993" ht="15.75" customHeight="1">
      <c r="Q993" s="23"/>
      <c r="R993" s="23"/>
    </row>
    <row r="994" ht="15.75" customHeight="1">
      <c r="Q994" s="23"/>
      <c r="R994" s="23"/>
    </row>
    <row r="995" ht="15.75" customHeight="1">
      <c r="Q995" s="23"/>
      <c r="R995" s="2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