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 Space Vocab Band 2-3" sheetId="1" r:id="rId4"/>
  </sheets>
  <definedNames>
    <definedName hidden="1" localSheetId="0" name="_xlnm._FilterDatabase">'IELTS Space Vocab Band 2-3'!$A$1:$G$93</definedName>
  </definedNames>
  <calcPr/>
  <extLst>
    <ext uri="GoogleSheetsCustomDataVersion2">
      <go:sheetsCustomData xmlns:go="http://customooxmlschemas.google.com/" r:id="rId5" roundtripDataChecksum="zg0VH8GJ6pF5/sFlrfCkClDCpUr9v+5cPMxrXjWqmDY="/>
    </ext>
  </extLst>
</workbook>
</file>

<file path=xl/sharedStrings.xml><?xml version="1.0" encoding="utf-8"?>
<sst xmlns="http://schemas.openxmlformats.org/spreadsheetml/2006/main" count="563" uniqueCount="384">
  <si>
    <t>STT</t>
  </si>
  <si>
    <t>IELTS Band Level</t>
  </si>
  <si>
    <t>Phân loại</t>
  </si>
  <si>
    <t>Từ vựng &amp; Từ loại</t>
  </si>
  <si>
    <t>Phiên âm</t>
  </si>
  <si>
    <t>Nghĩa tiếng Việt</t>
  </si>
  <si>
    <t>Ví dụ mẫu siêu đơn giản (Band 2.0-3.0)</t>
  </si>
  <si>
    <t>Valid</t>
  </si>
  <si>
    <t>Audio check</t>
  </si>
  <si>
    <t>Tổng số từ nhấn</t>
  </si>
  <si>
    <t>Vị trí nhấn</t>
  </si>
  <si>
    <t>Band 2.0 - 3.0</t>
  </si>
  <si>
    <t>Vật thể</t>
  </si>
  <si>
    <t>Sun (n)</t>
  </si>
  <si>
    <t>/sʌn/</t>
  </si>
  <si>
    <t>Mặt trời</t>
  </si>
  <si>
    <t>The sun is big and hot.</t>
  </si>
  <si>
    <t>Moon (n)</t>
  </si>
  <si>
    <t>/muːn/</t>
  </si>
  <si>
    <t>Mặt trăng</t>
  </si>
  <si>
    <t>I see the moon at night.</t>
  </si>
  <si>
    <t>Star (n)</t>
  </si>
  <si>
    <t>/stɑːr/</t>
  </si>
  <si>
    <t>Ngôi sao</t>
  </si>
  <si>
    <t>The stars are very bright.</t>
  </si>
  <si>
    <t>Sky (n)</t>
  </si>
  <si>
    <t>/skaɪ/</t>
  </si>
  <si>
    <t>Bầu trời</t>
  </si>
  <si>
    <t>The sky is blue today.</t>
  </si>
  <si>
    <t>Planet (n)</t>
  </si>
  <si>
    <t>/ˈplæn.ɪt/</t>
  </si>
  <si>
    <t>Hành tinh</t>
  </si>
  <si>
    <t>Earth is a beautiful planet.</t>
  </si>
  <si>
    <t>Mars (n)</t>
  </si>
  <si>
    <t>/mɑːz/</t>
  </si>
  <si>
    <t>Sao Hỏa</t>
  </si>
  <si>
    <t>Mars is a red planet.</t>
  </si>
  <si>
    <t>Jupiter (n)</t>
  </si>
  <si>
    <t>/ˈdʒuː.pɪ.tər/</t>
  </si>
  <si>
    <t>Sao Mộc</t>
  </si>
  <si>
    <t>Jupiter is a very big planet.</t>
  </si>
  <si>
    <t>Saturn (n)</t>
  </si>
  <si>
    <t>/ˈsæt.ən/</t>
  </si>
  <si>
    <t>Sao Thổ</t>
  </si>
  <si>
    <t>Saturn has beautiful rings.</t>
  </si>
  <si>
    <t>Venus (n)</t>
  </si>
  <si>
    <t>/ˈviː.nəs/</t>
  </si>
  <si>
    <t>Sao Kim</t>
  </si>
  <si>
    <t>Venus is very hot.</t>
  </si>
  <si>
    <t>Mercury (n)</t>
  </si>
  <si>
    <t>/ˈmɜː.kjə.ri/</t>
  </si>
  <si>
    <t>Sao Thủy</t>
  </si>
  <si>
    <t>Mercury is near the sun.</t>
  </si>
  <si>
    <t>Neptune (n)</t>
  </si>
  <si>
    <t>/ˈnep.tjuːn/</t>
  </si>
  <si>
    <t>Sao Hải Vương</t>
  </si>
  <si>
    <t>Neptune is a blue planet.</t>
  </si>
  <si>
    <t>Uranus (n)</t>
  </si>
  <si>
    <t>/ˈjʊə.rə.nəs/</t>
  </si>
  <si>
    <t>Sao Thiên Vương</t>
  </si>
  <si>
    <t>Uranus is very cold.</t>
  </si>
  <si>
    <t>Pluto (n)</t>
  </si>
  <si>
    <t>/ˈpluː.təʊ/</t>
  </si>
  <si>
    <t>Sao Diêm Vương</t>
  </si>
  <si>
    <t>Pluto is a small planet.</t>
  </si>
  <si>
    <t>World (n)</t>
  </si>
  <si>
    <t>/wɜːld/</t>
  </si>
  <si>
    <t>Thế giới</t>
  </si>
  <si>
    <t>The world is very big.</t>
  </si>
  <si>
    <t>Milky Way (n)</t>
  </si>
  <si>
    <t>/ˌmɪl.ki ˈweɪ/</t>
  </si>
  <si>
    <t>Dải Ngân hà</t>
  </si>
  <si>
    <t>We can see the Milky Way.</t>
  </si>
  <si>
    <t>Comet (n)</t>
  </si>
  <si>
    <t>/ˈkɒm.ɪt/</t>
  </si>
  <si>
    <t>Sao chổi</t>
  </si>
  <si>
    <t>The comet has a long tail.</t>
  </si>
  <si>
    <t>Asteroid (n)</t>
  </si>
  <si>
    <t>/ˈæs.tər.ɔɪd/</t>
  </si>
  <si>
    <t>Tiểu hành tinh</t>
  </si>
  <si>
    <t>The asteroid is a big rock.</t>
  </si>
  <si>
    <t>Meteor (n)</t>
  </si>
  <si>
    <t>/ˈmiː.ti.ɔːr/</t>
  </si>
  <si>
    <t>Sao băng</t>
  </si>
  <si>
    <t>Look! A meteor is falling.</t>
  </si>
  <si>
    <t>Môi trường</t>
  </si>
  <si>
    <t>Cloud (n)</t>
  </si>
  <si>
    <t>/klaʊd/</t>
  </si>
  <si>
    <t>Đám mây</t>
  </si>
  <si>
    <t>There are clouds in the sky.</t>
  </si>
  <si>
    <t>Night (n)</t>
  </si>
  <si>
    <t>/naɪt/</t>
  </si>
  <si>
    <t>Ban đêm</t>
  </si>
  <si>
    <t>The sky is dark at night.</t>
  </si>
  <si>
    <t>Day (n)</t>
  </si>
  <si>
    <t>/deɪ/</t>
  </si>
  <si>
    <t>Ban ngày</t>
  </si>
  <si>
    <t>The sun shines during the day.</t>
  </si>
  <si>
    <t>Light (n)</t>
  </si>
  <si>
    <t>/laɪt/</t>
  </si>
  <si>
    <t>Ánh sáng</t>
  </si>
  <si>
    <t>The sun gives us light.</t>
  </si>
  <si>
    <t>Dark (n/adj)</t>
  </si>
  <si>
    <t>/dɑːk/</t>
  </si>
  <si>
    <t>Bóng tối / Tối</t>
  </si>
  <si>
    <t>Space is very dark.</t>
  </si>
  <si>
    <t>Air (n)</t>
  </si>
  <si>
    <t>/eər/</t>
  </si>
  <si>
    <t>Không khí</t>
  </si>
  <si>
    <t>There is no air in space.</t>
  </si>
  <si>
    <t>Wind (n)</t>
  </si>
  <si>
    <t>/wɪnd/</t>
  </si>
  <si>
    <t>Gió</t>
  </si>
  <si>
    <t>There is no wind on the moon.</t>
  </si>
  <si>
    <t>Fire (n)</t>
  </si>
  <si>
    <t>/faɪər/</t>
  </si>
  <si>
    <t>Lửa</t>
  </si>
  <si>
    <t>The sun looks like fire.</t>
  </si>
  <si>
    <t>Ice (n)</t>
  </si>
  <si>
    <t>/aɪs/</t>
  </si>
  <si>
    <t>Nước đá / Băng</t>
  </si>
  <si>
    <t>Some planets have ice.</t>
  </si>
  <si>
    <t>Water (n)</t>
  </si>
  <si>
    <t>/ˈwɔː.tər/</t>
  </si>
  <si>
    <t>Nước</t>
  </si>
  <si>
    <t>Earth has a lot of water.</t>
  </si>
  <si>
    <t>Rock (n)</t>
  </si>
  <si>
    <t>/rɒk/</t>
  </si>
  <si>
    <t>Hòn đá / Đá</t>
  </si>
  <si>
    <t>The moon is made of rock.</t>
  </si>
  <si>
    <t>Gas (n)</t>
  </si>
  <si>
    <t>/ɡæs/</t>
  </si>
  <si>
    <t>Chất khí</t>
  </si>
  <si>
    <t>Jupiter is made of gas.</t>
  </si>
  <si>
    <t>Land (n)</t>
  </si>
  <si>
    <t>/lænd/</t>
  </si>
  <si>
    <t>Đất liền / Mặt đất</t>
  </si>
  <si>
    <t>The spaceship landed on the ground.</t>
  </si>
  <si>
    <t>Shadow (n)</t>
  </si>
  <si>
    <t>/ˈʃæd.əʊ/</t>
  </si>
  <si>
    <t>Bóng râm / Bóng tối</t>
  </si>
  <si>
    <t>The moon makes a big shadow.</t>
  </si>
  <si>
    <t>Morning (n)</t>
  </si>
  <si>
    <t>/ˈmɔː.nɪŋ/</t>
  </si>
  <si>
    <t>Buổi sáng</t>
  </si>
  <si>
    <t>The sun comes up in the morning.</t>
  </si>
  <si>
    <t>Evening (n)</t>
  </si>
  <si>
    <t>/ˈiːv.nɪŋ/</t>
  </si>
  <si>
    <t>Buổi tối</t>
  </si>
  <si>
    <t>The sun goes down in the evening.</t>
  </si>
  <si>
    <t>Sunrise (n)</t>
  </si>
  <si>
    <t>/ˈsʌn.raɪz/</t>
  </si>
  <si>
    <t>Bình minh</t>
  </si>
  <si>
    <t>I like to watch the sunrise.</t>
  </si>
  <si>
    <t>Sunset (n)</t>
  </si>
  <si>
    <t>/ˈsʌn.set/</t>
  </si>
  <si>
    <t>Hoàng hôn</t>
  </si>
  <si>
    <t>The sunset is very beautiful.</t>
  </si>
  <si>
    <t>Khám phá</t>
  </si>
  <si>
    <t>Astronaut (n)</t>
  </si>
  <si>
    <t>/ˈæs.trə.nɔːt/</t>
  </si>
  <si>
    <t>Phi hành gia</t>
  </si>
  <si>
    <t>The astronaut flies a rocket.</t>
  </si>
  <si>
    <t>Rocket (n)</t>
  </si>
  <si>
    <t>/ˈrɒk.ɪt/</t>
  </si>
  <si>
    <t>Tên lửa</t>
  </si>
  <si>
    <t>The rocket goes into space.</t>
  </si>
  <si>
    <t>Spaceship (n)</t>
  </si>
  <si>
    <t>/ˈspeɪs.ʃɪp/</t>
  </si>
  <si>
    <t>Tàu vũ trụ</t>
  </si>
  <si>
    <t>The spaceship is very fast.</t>
  </si>
  <si>
    <t>Alien (n)</t>
  </si>
  <si>
    <t>/ˈeɪ.li.ən/</t>
  </si>
  <si>
    <t>Người ngoài hành tinh</t>
  </si>
  <si>
    <t>Is that a green alien?</t>
  </si>
  <si>
    <t>Robot (n)</t>
  </si>
  <si>
    <t>/ˈrəʊ.bɒt/</t>
  </si>
  <si>
    <t>Người máy / Rô-bốt</t>
  </si>
  <si>
    <t>The robot walks on Mars.</t>
  </si>
  <si>
    <t>Satellite (n)</t>
  </si>
  <si>
    <t>/ˈsæt.əl.aɪt/</t>
  </si>
  <si>
    <t>Vệ tinh</t>
  </si>
  <si>
    <t>The satellite flies around Earth.</t>
  </si>
  <si>
    <t>Telescope (n)</t>
  </si>
  <si>
    <t>/ˈtel.ɪ.skəʊp/</t>
  </si>
  <si>
    <t>Kính thiên văn</t>
  </si>
  <si>
    <t>I look at stars with a telescope.</t>
  </si>
  <si>
    <t>UFO (n)</t>
  </si>
  <si>
    <t>/ˌjuː.efˈəʊ/</t>
  </si>
  <si>
    <t>Đĩa bay / Vật thể lạ</t>
  </si>
  <si>
    <t>He saw a UFO in the sky.</t>
  </si>
  <si>
    <t>Helmet (n)</t>
  </si>
  <si>
    <t>/ˈhel.mət/</t>
  </si>
  <si>
    <t>Mũ bảo hiểm / Mũ phi hành gia</t>
  </si>
  <si>
    <t>Put on your helmet now.</t>
  </si>
  <si>
    <t>Map (n)</t>
  </si>
  <si>
    <t>/mæp/</t>
  </si>
  <si>
    <t>Bản đồ</t>
  </si>
  <si>
    <t>We need a star map.</t>
  </si>
  <si>
    <t>Radio (n)</t>
  </si>
  <si>
    <t>/ˈreɪ.di.əʊ/</t>
  </si>
  <si>
    <t>Đài phát thanh / Bộ đàm</t>
  </si>
  <si>
    <t>They talk using a radio.</t>
  </si>
  <si>
    <t>Camera (n)</t>
  </si>
  <si>
    <t>/ˈbæm.ər.ə/</t>
  </si>
  <si>
    <t>Máy ảnh</t>
  </si>
  <si>
    <t>Take a photo with the camera.</t>
  </si>
  <si>
    <t>Computer (n)</t>
  </si>
  <si>
    <t>/kəmˈpjuː.tər/</t>
  </si>
  <si>
    <t>Máy tính</t>
  </si>
  <si>
    <t>The computer drives the spaceship.</t>
  </si>
  <si>
    <t>Window (n)</t>
  </si>
  <si>
    <t>/ˈwɪn.dəʊ/</t>
  </si>
  <si>
    <t>Cửa sổ</t>
  </si>
  <si>
    <t>Look out of the spaceship window.</t>
  </si>
  <si>
    <t>Door (n)</t>
  </si>
  <si>
    <t>/dɔːr/</t>
  </si>
  <si>
    <t>Cửa ra vào</t>
  </si>
  <si>
    <t>Close the rocket door.</t>
  </si>
  <si>
    <t>Boot (n)</t>
  </si>
  <si>
    <t>/buːt/</t>
  </si>
  <si>
    <t>Giày ủng</t>
  </si>
  <si>
    <t>Astronauts wear big boots.</t>
  </si>
  <si>
    <t>Team (n)</t>
  </si>
  <si>
    <t>/tiːm/</t>
  </si>
  <si>
    <t>Đội / Nhóm</t>
  </si>
  <si>
    <t>The space team works hard.</t>
  </si>
  <si>
    <t>Pilot (n)</t>
  </si>
  <si>
    <t>/ˈpaɪ.lət/</t>
  </si>
  <si>
    <t>Phi công</t>
  </si>
  <si>
    <t>The pilot flies the ship.</t>
  </si>
  <si>
    <t>Ship (n)</t>
  </si>
  <si>
    <t>/ʃɪp/</t>
  </si>
  <si>
    <t>Tàu</t>
  </si>
  <si>
    <t>The space ship is ready.</t>
  </si>
  <si>
    <t>Station (n)</t>
  </si>
  <si>
    <t>/ˈsteɪ.ʃən/</t>
  </si>
  <si>
    <t>Trạm</t>
  </si>
  <si>
    <t>They live in a space station.</t>
  </si>
  <si>
    <t>Screen (n)</t>
  </si>
  <si>
    <t>/skriːn/</t>
  </si>
  <si>
    <t>Màn hình</t>
  </si>
  <si>
    <t>Look at the computer screen.</t>
  </si>
  <si>
    <t>Picture (n)</t>
  </si>
  <si>
    <t>/ˈpɪk.tʃər/</t>
  </si>
  <si>
    <t>Bức tranh / Hình ảnh</t>
  </si>
  <si>
    <t>This is a picture of Earth.</t>
  </si>
  <si>
    <t>Tính từ</t>
  </si>
  <si>
    <t>Big (adj)</t>
  </si>
  <si>
    <t>/bɪɡ/</t>
  </si>
  <si>
    <t>To lớn</t>
  </si>
  <si>
    <t>The sun is very big.</t>
  </si>
  <si>
    <t>Small (adj)</t>
  </si>
  <si>
    <t>/smɔːl/</t>
  </si>
  <si>
    <t>Nhỏ bé</t>
  </si>
  <si>
    <t>Stars look small from Earth.</t>
  </si>
  <si>
    <t>Hot (adj)</t>
  </si>
  <si>
    <t>/hɒt/</t>
  </si>
  <si>
    <t>Nóng</t>
  </si>
  <si>
    <t>The sun is too hot.</t>
  </si>
  <si>
    <t>Cold (adj)</t>
  </si>
  <si>
    <t>/kəʊld/</t>
  </si>
  <si>
    <t>Lạnh</t>
  </si>
  <si>
    <t>Space is very cold.</t>
  </si>
  <si>
    <t>Far (adj)</t>
  </si>
  <si>
    <t>/fɑːr/</t>
  </si>
  <si>
    <t>Xa</t>
  </si>
  <si>
    <t>The moon is far away.</t>
  </si>
  <si>
    <t>Near (adj)</t>
  </si>
  <si>
    <t>/nɪər/</t>
  </si>
  <si>
    <t>Gần</t>
  </si>
  <si>
    <t>The satellite is near Earth.</t>
  </si>
  <si>
    <t>High (adj)</t>
  </si>
  <si>
    <t>/haɪ/</t>
  </si>
  <si>
    <t>Cao</t>
  </si>
  <si>
    <t>The rocket is very high.</t>
  </si>
  <si>
    <t>Fast (adj)</t>
  </si>
  <si>
    <t>/fɑːst/</t>
  </si>
  <si>
    <t>Nhanh</t>
  </si>
  <si>
    <t>Rockets are very fast.</t>
  </si>
  <si>
    <t>Slow (adj)</t>
  </si>
  <si>
    <t>/sləʊ/</t>
  </si>
  <si>
    <t>Chậm</t>
  </si>
  <si>
    <t>The rover is very slow.</t>
  </si>
  <si>
    <t>Beautiful (adj)</t>
  </si>
  <si>
    <t>/ˈbjuː.tɪ.fəl/</t>
  </si>
  <si>
    <t>Đẹp đẽ</t>
  </si>
  <si>
    <t>The moon is beautiful.</t>
  </si>
  <si>
    <t>New (adj)</t>
  </si>
  <si>
    <t>/njuː/</t>
  </si>
  <si>
    <t>Mới</t>
  </si>
  <si>
    <t>They built a new rocket.</t>
  </si>
  <si>
    <t>Old (adj)</t>
  </si>
  <si>
    <t>/əʊld/</t>
  </si>
  <si>
    <t>Cũ / Già</t>
  </si>
  <si>
    <t>The telescope is old.</t>
  </si>
  <si>
    <t>Safe (adj)</t>
  </si>
  <si>
    <t>/seɪf/</t>
  </si>
  <si>
    <t>An toàn</t>
  </si>
  <si>
    <t>The spaceship is safe.</t>
  </si>
  <si>
    <t>Dangerous (adj)</t>
  </si>
  <si>
    <t>/ˈdeɪn.dʒər.əs/</t>
  </si>
  <si>
    <t>Nguy hiểm</t>
  </si>
  <si>
    <t>Space can be dangerous.</t>
  </si>
  <si>
    <t>Round (adj)</t>
  </si>
  <si>
    <t>/raʊnd/</t>
  </si>
  <si>
    <t>Tròn</t>
  </si>
  <si>
    <t>The Earth is round.</t>
  </si>
  <si>
    <t>Many (adj)</t>
  </si>
  <si>
    <t>/ˈmen.i/</t>
  </si>
  <si>
    <t>Nhiều</t>
  </si>
  <si>
    <t>There are many stars.</t>
  </si>
  <si>
    <t>Heavy (adj)</t>
  </si>
  <si>
    <t>/ˈhev.i/</t>
  </si>
  <si>
    <t>Nặng</t>
  </si>
  <si>
    <t>The rocket is very heavy.</t>
  </si>
  <si>
    <t>Light (adj)</t>
  </si>
  <si>
    <t>Nhẹ</t>
  </si>
  <si>
    <t>You feel light in space.</t>
  </si>
  <si>
    <t>Quiet (adj)</t>
  </si>
  <si>
    <t>/ˈkwaɪ.ət/</t>
  </si>
  <si>
    <t>Yên tĩnh</t>
  </si>
  <si>
    <t>Space is very quiet.</t>
  </si>
  <si>
    <t>Động từ</t>
  </si>
  <si>
    <t>Fly (v)</t>
  </si>
  <si>
    <t>/flaɪ/</t>
  </si>
  <si>
    <t>Bay</t>
  </si>
  <si>
    <t>Birds fly, and rockets fly too.</t>
  </si>
  <si>
    <t>Go (v)</t>
  </si>
  <si>
    <t>/ɡəʊ/</t>
  </si>
  <si>
    <t>Đi</t>
  </si>
  <si>
    <t>We go to the moon.</t>
  </si>
  <si>
    <t>See (v)</t>
  </si>
  <si>
    <t>/siː/</t>
  </si>
  <si>
    <t>Nhìn thấy</t>
  </si>
  <si>
    <t>I can see the stars.</t>
  </si>
  <si>
    <t>Look (v)</t>
  </si>
  <si>
    <t>/lʊk/</t>
  </si>
  <si>
    <t>Nhìn vào</t>
  </si>
  <si>
    <t>Look at the big moon!</t>
  </si>
  <si>
    <t>Float (v)</t>
  </si>
  <si>
    <t>/fləʊt/</t>
  </si>
  <si>
    <t>Trôi nổi</t>
  </si>
  <si>
    <t>Astronauts float in space.</t>
  </si>
  <si>
    <t>Fall (v)</t>
  </si>
  <si>
    <t>/fɔːl/</t>
  </si>
  <si>
    <t>Rơi</t>
  </si>
  <si>
    <t>Meteors fall to Earth.</t>
  </si>
  <si>
    <t>Shine (v)</t>
  </si>
  <si>
    <t>/ʃaɪn/</t>
  </si>
  <si>
    <t>Tỏa sáng</t>
  </si>
  <si>
    <t>The stars shine bright.</t>
  </si>
  <si>
    <t>Move (v)</t>
  </si>
  <si>
    <t>/muːv/</t>
  </si>
  <si>
    <t>Di chuyển</t>
  </si>
  <si>
    <t>Planets move around the sun.</t>
  </si>
  <si>
    <t>Stop (v)</t>
  </si>
  <si>
    <t>/stɒp/</t>
  </si>
  <si>
    <t>Dừng lại</t>
  </si>
  <si>
    <t>The rocket does not stop.</t>
  </si>
  <si>
    <t>Start (v)</t>
  </si>
  <si>
    <t>/stɑːt/</t>
  </si>
  <si>
    <t>Bắt đầu</t>
  </si>
  <si>
    <t>The countdown starts now.</t>
  </si>
  <si>
    <t>Live (v)</t>
  </si>
  <si>
    <t>/lɪv/</t>
  </si>
  <si>
    <t>Sống</t>
  </si>
  <si>
    <t>We live on planet Earth.</t>
  </si>
  <si>
    <t>Build (v)</t>
  </si>
  <si>
    <t>/bɪld/</t>
  </si>
  <si>
    <t>Xây dựng</t>
  </si>
  <si>
    <t>They build big spaceships.</t>
  </si>
  <si>
    <t>Make (v)</t>
  </si>
  <si>
    <t>/meɪk/</t>
  </si>
  <si>
    <t>Làm ra</t>
  </si>
  <si>
    <t>Factories make satellites.</t>
  </si>
  <si>
    <t>Find (v)</t>
  </si>
  <si>
    <t>/faɪnd/</t>
  </si>
  <si>
    <t>Tìm thấy</t>
  </si>
  <si>
    <t>Scientists find new planets.</t>
  </si>
  <si>
    <t>Travel (v)</t>
  </si>
  <si>
    <t>/ˈtræv.əl/</t>
  </si>
  <si>
    <t>Du hành / Đi lại</t>
  </si>
  <si>
    <t>We want to travel to Mars.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</si>
</sst>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rgb="FF2F855A"/>
      <name val="Calibri"/>
    </font>
    <font>
      <b/>
      <sz val="11.0"/>
      <color rgb="FF1A202C"/>
      <name val="Calibri"/>
    </font>
    <font>
      <i/>
      <sz val="10.0"/>
      <color rgb="FF718096"/>
      <name val="Calibri"/>
    </font>
    <font>
      <sz val="10.0"/>
      <color rgb="FF2D3748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7FAFC"/>
        <bgColor rgb="FFF7FAFC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/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3" fontId="2" numFmtId="0" xfId="0" applyAlignment="1" applyBorder="1" applyFill="1" applyFont="1">
      <alignment horizontal="center" readingOrder="0" vertical="center"/>
    </xf>
    <xf borderId="3" fillId="3" fontId="3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left" vertical="center"/>
    </xf>
    <xf borderId="3" fillId="3" fontId="5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left" vertical="center"/>
    </xf>
    <xf borderId="4" fillId="4" fontId="6" numFmtId="0" xfId="0" applyAlignment="1" applyBorder="1" applyFill="1" applyFont="1">
      <alignment horizontal="left" vertical="center"/>
    </xf>
    <xf borderId="5" fillId="3" fontId="2" numFmtId="0" xfId="0" applyAlignment="1" applyBorder="1" applyFill="1" applyFont="1">
      <alignment horizontal="center" readingOrder="0" vertical="bottom"/>
    </xf>
    <xf borderId="3" fillId="5" fontId="2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vertical="center"/>
    </xf>
    <xf borderId="3" fillId="5" fontId="2" numFmtId="0" xfId="0" applyAlignment="1" applyBorder="1" applyFill="1" applyFont="1">
      <alignment horizontal="center" vertical="center"/>
    </xf>
    <xf borderId="3" fillId="5" fontId="4" numFmtId="0" xfId="0" applyAlignment="1" applyBorder="1" applyFill="1" applyFont="1">
      <alignment horizontal="left" vertical="center"/>
    </xf>
    <xf borderId="3" fillId="5" fontId="5" numFmtId="0" xfId="0" applyAlignment="1" applyBorder="1" applyFill="1" applyFont="1">
      <alignment horizontal="center" vertical="center"/>
    </xf>
    <xf borderId="3" fillId="5" fontId="2" numFmtId="0" xfId="0" applyAlignment="1" applyBorder="1" applyFill="1" applyFont="1">
      <alignment horizontal="left" vertical="center"/>
    </xf>
    <xf borderId="4" fillId="5" fontId="6" numFmtId="0" xfId="0" applyAlignment="1" applyBorder="1" applyFill="1" applyFont="1">
      <alignment horizontal="left" vertical="center"/>
    </xf>
    <xf borderId="3" fillId="5" fontId="2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horizontal="center" readingOrder="0" vertical="bottom"/>
    </xf>
    <xf borderId="4" fillId="3" fontId="6" numFmtId="0" xfId="0" applyAlignment="1" applyBorder="1" applyFill="1" applyFont="1">
      <alignment horizontal="left" vertical="center"/>
    </xf>
    <xf borderId="1" fillId="4" fontId="2" numFmtId="0" xfId="0" applyBorder="1" applyFill="1" applyFont="1"/>
    <xf borderId="3" fillId="4" fontId="3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5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6.0"/>
    <col customWidth="1" min="3" max="3" width="15.0"/>
    <col customWidth="1" min="4" max="4" width="19.57"/>
    <col customWidth="1" min="5" max="5" width="12.57"/>
    <col customWidth="1" min="6" max="6" width="28.0"/>
    <col customWidth="1" min="7" max="7" width="37.71"/>
    <col customWidth="1" min="8" max="8" width="10.43"/>
    <col customWidth="1" min="9" max="9" width="10.71"/>
    <col customWidth="1" min="10" max="10" width="9.14"/>
    <col customWidth="1" min="11" max="11" width="10.86"/>
    <col customWidth="1" min="12" max="12" width="10.0"/>
    <col customWidth="1" min="13" max="13" width="8.29"/>
    <col customWidth="1" min="14" max="15" width="9.86"/>
    <col customWidth="1" min="16" max="17" width="7.0"/>
    <col customWidth="1" min="18" max="19" width="8.71"/>
    <col customWidth="1" min="20" max="20" width="30.0"/>
    <col customWidth="1" min="21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>
        <v>1.0</v>
      </c>
      <c r="I1" s="1">
        <v>2.0</v>
      </c>
      <c r="J1" s="1">
        <v>3.0</v>
      </c>
      <c r="K1" s="1">
        <v>4.0</v>
      </c>
      <c r="L1" s="1">
        <v>5.0</v>
      </c>
      <c r="M1" s="1">
        <v>6.0</v>
      </c>
      <c r="N1" s="1">
        <v>7.0</v>
      </c>
      <c r="O1" s="1">
        <v>8.0</v>
      </c>
      <c r="P1" s="2" t="s">
        <v>7</v>
      </c>
      <c r="Q1" s="2" t="s">
        <v>8</v>
      </c>
      <c r="R1" s="3" t="s">
        <v>9</v>
      </c>
      <c r="S1" s="3" t="s">
        <v>10</v>
      </c>
    </row>
    <row r="2" ht="25.5" customHeight="1">
      <c r="A2" s="4">
        <v>1.0</v>
      </c>
      <c r="B2" s="5" t="s">
        <v>11</v>
      </c>
      <c r="C2" s="6" t="s">
        <v>12</v>
      </c>
      <c r="D2" s="7" t="s">
        <v>13</v>
      </c>
      <c r="E2" s="8" t="s">
        <v>14</v>
      </c>
      <c r="F2" s="9" t="s">
        <v>15</v>
      </c>
      <c r="G2" s="10" t="s">
        <v>16</v>
      </c>
      <c r="H2" s="6" t="str">
        <f>IFERROR(__xludf.DUMMYFUNCTION("split(G2, "" "")"),"The")</f>
        <v>The</v>
      </c>
      <c r="I2" s="6" t="str">
        <f>IFERROR(__xludf.DUMMYFUNCTION("""COMPUTED_VALUE"""),"sun")</f>
        <v>sun</v>
      </c>
      <c r="J2" s="6" t="str">
        <f>IFERROR(__xludf.DUMMYFUNCTION("""COMPUTED_VALUE"""),"is")</f>
        <v>is</v>
      </c>
      <c r="K2" s="6" t="str">
        <f>IFERROR(__xludf.DUMMYFUNCTION("""COMPUTED_VALUE"""),"big")</f>
        <v>big</v>
      </c>
      <c r="L2" s="6" t="str">
        <f>IFERROR(__xludf.DUMMYFUNCTION("""COMPUTED_VALUE"""),"and")</f>
        <v>and</v>
      </c>
      <c r="M2" s="6" t="str">
        <f>IFERROR(__xludf.DUMMYFUNCTION("""COMPUTED_VALUE"""),"hot.")</f>
        <v>hot.</v>
      </c>
      <c r="N2" s="6"/>
      <c r="O2" s="6"/>
      <c r="P2" s="6"/>
      <c r="Q2" s="6"/>
      <c r="R2" s="11">
        <v>4.0</v>
      </c>
      <c r="S2" s="11">
        <v>1246.0</v>
      </c>
    </row>
    <row r="3" ht="25.5" customHeight="1">
      <c r="A3" s="12">
        <v>2.0</v>
      </c>
      <c r="B3" s="13" t="s">
        <v>11</v>
      </c>
      <c r="C3" s="14" t="s">
        <v>12</v>
      </c>
      <c r="D3" s="15" t="s">
        <v>17</v>
      </c>
      <c r="E3" s="16" t="s">
        <v>18</v>
      </c>
      <c r="F3" s="17" t="s">
        <v>19</v>
      </c>
      <c r="G3" s="18" t="s">
        <v>20</v>
      </c>
      <c r="H3" s="14" t="str">
        <f>IFERROR(__xludf.DUMMYFUNCTION("split(G3, "" "")"),"I")</f>
        <v>I</v>
      </c>
      <c r="I3" s="14" t="str">
        <f>IFERROR(__xludf.DUMMYFUNCTION("""COMPUTED_VALUE"""),"see")</f>
        <v>see</v>
      </c>
      <c r="J3" s="14" t="str">
        <f>IFERROR(__xludf.DUMMYFUNCTION("""COMPUTED_VALUE"""),"the")</f>
        <v>the</v>
      </c>
      <c r="K3" s="14" t="str">
        <f>IFERROR(__xludf.DUMMYFUNCTION("""COMPUTED_VALUE"""),"moon")</f>
        <v>moon</v>
      </c>
      <c r="L3" s="14" t="str">
        <f>IFERROR(__xludf.DUMMYFUNCTION("""COMPUTED_VALUE"""),"at")</f>
        <v>at</v>
      </c>
      <c r="M3" s="14" t="str">
        <f>IFERROR(__xludf.DUMMYFUNCTION("""COMPUTED_VALUE"""),"night.")</f>
        <v>night.</v>
      </c>
      <c r="N3" s="14"/>
      <c r="O3" s="14"/>
      <c r="P3" s="14"/>
      <c r="Q3" s="14"/>
      <c r="R3" s="19">
        <v>4.0</v>
      </c>
      <c r="S3" s="11">
        <v>1246.0</v>
      </c>
    </row>
    <row r="4" ht="25.5" customHeight="1">
      <c r="A4" s="4">
        <v>3.0</v>
      </c>
      <c r="B4" s="5" t="s">
        <v>11</v>
      </c>
      <c r="C4" s="6" t="s">
        <v>12</v>
      </c>
      <c r="D4" s="7" t="s">
        <v>21</v>
      </c>
      <c r="E4" s="8" t="s">
        <v>22</v>
      </c>
      <c r="F4" s="9" t="s">
        <v>23</v>
      </c>
      <c r="G4" s="10" t="s">
        <v>24</v>
      </c>
      <c r="H4" s="6" t="str">
        <f>IFERROR(__xludf.DUMMYFUNCTION("split(G4, "" "")"),"The")</f>
        <v>The</v>
      </c>
      <c r="I4" s="6" t="str">
        <f>IFERROR(__xludf.DUMMYFUNCTION("""COMPUTED_VALUE"""),"stars")</f>
        <v>stars</v>
      </c>
      <c r="J4" s="6" t="str">
        <f>IFERROR(__xludf.DUMMYFUNCTION("""COMPUTED_VALUE"""),"are")</f>
        <v>are</v>
      </c>
      <c r="K4" s="6" t="str">
        <f>IFERROR(__xludf.DUMMYFUNCTION("""COMPUTED_VALUE"""),"very")</f>
        <v>very</v>
      </c>
      <c r="L4" s="6" t="str">
        <f>IFERROR(__xludf.DUMMYFUNCTION("""COMPUTED_VALUE"""),"bright.")</f>
        <v>bright.</v>
      </c>
      <c r="M4" s="6"/>
      <c r="N4" s="6"/>
      <c r="O4" s="6"/>
      <c r="P4" s="6"/>
      <c r="Q4" s="6"/>
      <c r="R4" s="20">
        <v>3.0</v>
      </c>
      <c r="S4" s="11">
        <v>125.0</v>
      </c>
    </row>
    <row r="5" ht="25.5" customHeight="1">
      <c r="A5" s="12">
        <v>4.0</v>
      </c>
      <c r="B5" s="13" t="s">
        <v>11</v>
      </c>
      <c r="C5" s="14" t="s">
        <v>12</v>
      </c>
      <c r="D5" s="15" t="s">
        <v>25</v>
      </c>
      <c r="E5" s="16" t="s">
        <v>26</v>
      </c>
      <c r="F5" s="17" t="s">
        <v>27</v>
      </c>
      <c r="G5" s="18" t="s">
        <v>28</v>
      </c>
      <c r="H5" s="14" t="str">
        <f>IFERROR(__xludf.DUMMYFUNCTION("split(G5, "" "")"),"The")</f>
        <v>The</v>
      </c>
      <c r="I5" s="14" t="str">
        <f>IFERROR(__xludf.DUMMYFUNCTION("""COMPUTED_VALUE"""),"sky")</f>
        <v>sky</v>
      </c>
      <c r="J5" s="14" t="str">
        <f>IFERROR(__xludf.DUMMYFUNCTION("""COMPUTED_VALUE"""),"is")</f>
        <v>is</v>
      </c>
      <c r="K5" s="14" t="str">
        <f>IFERROR(__xludf.DUMMYFUNCTION("""COMPUTED_VALUE"""),"blue")</f>
        <v>blue</v>
      </c>
      <c r="L5" s="14" t="str">
        <f>IFERROR(__xludf.DUMMYFUNCTION("""COMPUTED_VALUE"""),"today.")</f>
        <v>today.</v>
      </c>
      <c r="M5" s="14"/>
      <c r="N5" s="14"/>
      <c r="O5" s="14"/>
      <c r="P5" s="14"/>
      <c r="Q5" s="14"/>
      <c r="R5" s="19">
        <v>4.0</v>
      </c>
      <c r="S5" s="11">
        <v>1245.0</v>
      </c>
    </row>
    <row r="6" ht="25.5" customHeight="1">
      <c r="A6" s="4">
        <v>5.0</v>
      </c>
      <c r="B6" s="13" t="s">
        <v>11</v>
      </c>
      <c r="C6" s="14" t="s">
        <v>12</v>
      </c>
      <c r="D6" s="15" t="s">
        <v>29</v>
      </c>
      <c r="E6" s="16" t="s">
        <v>30</v>
      </c>
      <c r="F6" s="17" t="s">
        <v>31</v>
      </c>
      <c r="G6" s="18" t="s">
        <v>32</v>
      </c>
      <c r="H6" s="14" t="str">
        <f>IFERROR(__xludf.DUMMYFUNCTION("split(G6, "" "")"),"Earth")</f>
        <v>Earth</v>
      </c>
      <c r="I6" s="14" t="str">
        <f>IFERROR(__xludf.DUMMYFUNCTION("""COMPUTED_VALUE"""),"is")</f>
        <v>is</v>
      </c>
      <c r="J6" s="14" t="str">
        <f>IFERROR(__xludf.DUMMYFUNCTION("""COMPUTED_VALUE"""),"a")</f>
        <v>a</v>
      </c>
      <c r="K6" s="14" t="str">
        <f>IFERROR(__xludf.DUMMYFUNCTION("""COMPUTED_VALUE"""),"beautiful")</f>
        <v>beautiful</v>
      </c>
      <c r="L6" s="14" t="str">
        <f>IFERROR(__xludf.DUMMYFUNCTION("""COMPUTED_VALUE"""),"planet.")</f>
        <v>planet.</v>
      </c>
      <c r="M6" s="14"/>
      <c r="N6" s="14"/>
      <c r="O6" s="14"/>
      <c r="P6" s="14"/>
      <c r="Q6" s="14"/>
      <c r="R6" s="19">
        <v>3.0</v>
      </c>
      <c r="S6" s="11">
        <v>145.0</v>
      </c>
    </row>
    <row r="7" ht="25.5" customHeight="1">
      <c r="A7" s="12">
        <v>6.0</v>
      </c>
      <c r="B7" s="5" t="s">
        <v>11</v>
      </c>
      <c r="C7" s="6" t="s">
        <v>12</v>
      </c>
      <c r="D7" s="7" t="s">
        <v>33</v>
      </c>
      <c r="E7" s="8" t="s">
        <v>34</v>
      </c>
      <c r="F7" s="9" t="s">
        <v>35</v>
      </c>
      <c r="G7" s="21" t="s">
        <v>36</v>
      </c>
      <c r="H7" s="6" t="str">
        <f>IFERROR(__xludf.DUMMYFUNCTION("split(G7, "" "")"),"Mars")</f>
        <v>Mars</v>
      </c>
      <c r="I7" s="6" t="str">
        <f>IFERROR(__xludf.DUMMYFUNCTION("""COMPUTED_VALUE"""),"is")</f>
        <v>is</v>
      </c>
      <c r="J7" s="6" t="str">
        <f>IFERROR(__xludf.DUMMYFUNCTION("""COMPUTED_VALUE"""),"a")</f>
        <v>a</v>
      </c>
      <c r="K7" s="6" t="str">
        <f>IFERROR(__xludf.DUMMYFUNCTION("""COMPUTED_VALUE"""),"red")</f>
        <v>red</v>
      </c>
      <c r="L7" s="6" t="str">
        <f>IFERROR(__xludf.DUMMYFUNCTION("""COMPUTED_VALUE"""),"planet.")</f>
        <v>planet.</v>
      </c>
      <c r="M7" s="6"/>
      <c r="N7" s="6"/>
      <c r="O7" s="6"/>
      <c r="P7" s="6"/>
      <c r="Q7" s="6"/>
      <c r="R7" s="20">
        <v>3.0</v>
      </c>
      <c r="S7" s="11">
        <v>145.0</v>
      </c>
    </row>
    <row r="8" ht="25.5" customHeight="1">
      <c r="A8" s="4">
        <v>7.0</v>
      </c>
      <c r="B8" s="13" t="s">
        <v>11</v>
      </c>
      <c r="C8" s="14" t="s">
        <v>12</v>
      </c>
      <c r="D8" s="15" t="s">
        <v>37</v>
      </c>
      <c r="E8" s="16" t="s">
        <v>38</v>
      </c>
      <c r="F8" s="17" t="s">
        <v>39</v>
      </c>
      <c r="G8" s="10" t="s">
        <v>40</v>
      </c>
      <c r="H8" s="14" t="str">
        <f>IFERROR(__xludf.DUMMYFUNCTION("split(G8, "" "")"),"Jupiter")</f>
        <v>Jupiter</v>
      </c>
      <c r="I8" s="14" t="str">
        <f>IFERROR(__xludf.DUMMYFUNCTION("""COMPUTED_VALUE"""),"is")</f>
        <v>is</v>
      </c>
      <c r="J8" s="14" t="str">
        <f>IFERROR(__xludf.DUMMYFUNCTION("""COMPUTED_VALUE"""),"a")</f>
        <v>a</v>
      </c>
      <c r="K8" s="14" t="str">
        <f>IFERROR(__xludf.DUMMYFUNCTION("""COMPUTED_VALUE"""),"very")</f>
        <v>very</v>
      </c>
      <c r="L8" s="14" t="str">
        <f>IFERROR(__xludf.DUMMYFUNCTION("""COMPUTED_VALUE"""),"big")</f>
        <v>big</v>
      </c>
      <c r="M8" s="14" t="str">
        <f>IFERROR(__xludf.DUMMYFUNCTION("""COMPUTED_VALUE"""),"planet.")</f>
        <v>planet.</v>
      </c>
      <c r="N8" s="14"/>
      <c r="O8" s="14"/>
      <c r="P8" s="14"/>
      <c r="Q8" s="14"/>
      <c r="R8" s="19">
        <v>3.0</v>
      </c>
      <c r="S8" s="11">
        <v>156.0</v>
      </c>
    </row>
    <row r="9" ht="25.5" customHeight="1">
      <c r="A9" s="12">
        <v>8.0</v>
      </c>
      <c r="B9" s="5" t="s">
        <v>11</v>
      </c>
      <c r="C9" s="6" t="s">
        <v>12</v>
      </c>
      <c r="D9" s="7" t="s">
        <v>41</v>
      </c>
      <c r="E9" s="8" t="s">
        <v>42</v>
      </c>
      <c r="F9" s="9" t="s">
        <v>43</v>
      </c>
      <c r="G9" s="21" t="s">
        <v>44</v>
      </c>
      <c r="H9" s="6" t="str">
        <f>IFERROR(__xludf.DUMMYFUNCTION("split(G9, "" "")"),"Saturn")</f>
        <v>Saturn</v>
      </c>
      <c r="I9" s="6" t="str">
        <f>IFERROR(__xludf.DUMMYFUNCTION("""COMPUTED_VALUE"""),"has")</f>
        <v>has</v>
      </c>
      <c r="J9" s="6" t="str">
        <f>IFERROR(__xludf.DUMMYFUNCTION("""COMPUTED_VALUE"""),"beautiful")</f>
        <v>beautiful</v>
      </c>
      <c r="K9" s="6" t="str">
        <f>IFERROR(__xludf.DUMMYFUNCTION("""COMPUTED_VALUE"""),"rings.")</f>
        <v>rings.</v>
      </c>
      <c r="L9" s="6"/>
      <c r="M9" s="6"/>
      <c r="N9" s="6"/>
      <c r="O9" s="6"/>
      <c r="P9" s="6"/>
      <c r="Q9" s="6"/>
      <c r="R9" s="20">
        <v>3.0</v>
      </c>
      <c r="S9" s="11">
        <v>134.0</v>
      </c>
    </row>
    <row r="10" ht="25.5" customHeight="1">
      <c r="A10" s="4">
        <v>9.0</v>
      </c>
      <c r="B10" s="13" t="s">
        <v>11</v>
      </c>
      <c r="C10" s="14" t="s">
        <v>12</v>
      </c>
      <c r="D10" s="15" t="s">
        <v>45</v>
      </c>
      <c r="E10" s="16" t="s">
        <v>46</v>
      </c>
      <c r="F10" s="17" t="s">
        <v>47</v>
      </c>
      <c r="G10" s="18" t="s">
        <v>48</v>
      </c>
      <c r="H10" s="14" t="str">
        <f>IFERROR(__xludf.DUMMYFUNCTION("split(G10, "" "")"),"Venus")</f>
        <v>Venus</v>
      </c>
      <c r="I10" s="14" t="str">
        <f>IFERROR(__xludf.DUMMYFUNCTION("""COMPUTED_VALUE"""),"is")</f>
        <v>is</v>
      </c>
      <c r="J10" s="14" t="str">
        <f>IFERROR(__xludf.DUMMYFUNCTION("""COMPUTED_VALUE"""),"very")</f>
        <v>very</v>
      </c>
      <c r="K10" s="14" t="str">
        <f>IFERROR(__xludf.DUMMYFUNCTION("""COMPUTED_VALUE"""),"hot.")</f>
        <v>hot.</v>
      </c>
      <c r="L10" s="14"/>
      <c r="M10" s="14"/>
      <c r="N10" s="14"/>
      <c r="O10" s="14"/>
      <c r="P10" s="14"/>
      <c r="Q10" s="14"/>
      <c r="R10" s="19">
        <v>2.0</v>
      </c>
      <c r="S10" s="11">
        <v>14.0</v>
      </c>
    </row>
    <row r="11" ht="25.5" customHeight="1">
      <c r="A11" s="12">
        <v>10.0</v>
      </c>
      <c r="B11" s="5" t="s">
        <v>11</v>
      </c>
      <c r="C11" s="6" t="s">
        <v>12</v>
      </c>
      <c r="D11" s="7" t="s">
        <v>49</v>
      </c>
      <c r="E11" s="8" t="s">
        <v>50</v>
      </c>
      <c r="F11" s="9" t="s">
        <v>51</v>
      </c>
      <c r="G11" s="21" t="s">
        <v>52</v>
      </c>
      <c r="H11" s="6" t="str">
        <f>IFERROR(__xludf.DUMMYFUNCTION("split(G11, "" "")"),"Mercury")</f>
        <v>Mercury</v>
      </c>
      <c r="I11" s="6" t="str">
        <f>IFERROR(__xludf.DUMMYFUNCTION("""COMPUTED_VALUE"""),"is")</f>
        <v>is</v>
      </c>
      <c r="J11" s="6" t="str">
        <f>IFERROR(__xludf.DUMMYFUNCTION("""COMPUTED_VALUE"""),"near")</f>
        <v>near</v>
      </c>
      <c r="K11" s="6" t="str">
        <f>IFERROR(__xludf.DUMMYFUNCTION("""COMPUTED_VALUE"""),"the")</f>
        <v>the</v>
      </c>
      <c r="L11" s="6" t="str">
        <f>IFERROR(__xludf.DUMMYFUNCTION("""COMPUTED_VALUE"""),"sun.")</f>
        <v>sun.</v>
      </c>
      <c r="M11" s="6"/>
      <c r="N11" s="6"/>
      <c r="O11" s="6"/>
      <c r="P11" s="6"/>
      <c r="Q11" s="6"/>
      <c r="R11" s="20">
        <v>3.0</v>
      </c>
      <c r="S11" s="11">
        <v>135.0</v>
      </c>
    </row>
    <row r="12" ht="25.5" customHeight="1">
      <c r="A12" s="4">
        <v>11.0</v>
      </c>
      <c r="B12" s="13" t="s">
        <v>11</v>
      </c>
      <c r="C12" s="14" t="s">
        <v>12</v>
      </c>
      <c r="D12" s="15" t="s">
        <v>53</v>
      </c>
      <c r="E12" s="16" t="s">
        <v>54</v>
      </c>
      <c r="F12" s="17" t="s">
        <v>55</v>
      </c>
      <c r="G12" s="18" t="s">
        <v>56</v>
      </c>
      <c r="H12" s="14" t="str">
        <f>IFERROR(__xludf.DUMMYFUNCTION("split(G12, "" "")"),"Neptune")</f>
        <v>Neptune</v>
      </c>
      <c r="I12" s="14" t="str">
        <f>IFERROR(__xludf.DUMMYFUNCTION("""COMPUTED_VALUE"""),"is")</f>
        <v>is</v>
      </c>
      <c r="J12" s="14" t="str">
        <f>IFERROR(__xludf.DUMMYFUNCTION("""COMPUTED_VALUE"""),"a")</f>
        <v>a</v>
      </c>
      <c r="K12" s="14" t="str">
        <f>IFERROR(__xludf.DUMMYFUNCTION("""COMPUTED_VALUE"""),"blue")</f>
        <v>blue</v>
      </c>
      <c r="L12" s="14" t="str">
        <f>IFERROR(__xludf.DUMMYFUNCTION("""COMPUTED_VALUE"""),"planet.")</f>
        <v>planet.</v>
      </c>
      <c r="M12" s="14"/>
      <c r="N12" s="14"/>
      <c r="O12" s="14"/>
      <c r="P12" s="14"/>
      <c r="Q12" s="14"/>
      <c r="R12" s="19">
        <v>3.0</v>
      </c>
      <c r="S12" s="11">
        <v>145.0</v>
      </c>
    </row>
    <row r="13" ht="25.5" customHeight="1">
      <c r="A13" s="12">
        <v>12.0</v>
      </c>
      <c r="B13" s="5" t="s">
        <v>11</v>
      </c>
      <c r="C13" s="6" t="s">
        <v>12</v>
      </c>
      <c r="D13" s="7" t="s">
        <v>57</v>
      </c>
      <c r="E13" s="8" t="s">
        <v>58</v>
      </c>
      <c r="F13" s="9" t="s">
        <v>59</v>
      </c>
      <c r="G13" s="21" t="s">
        <v>60</v>
      </c>
      <c r="H13" s="6" t="str">
        <f>IFERROR(__xludf.DUMMYFUNCTION("split(G13, "" "")"),"Uranus")</f>
        <v>Uranus</v>
      </c>
      <c r="I13" s="6" t="str">
        <f>IFERROR(__xludf.DUMMYFUNCTION("""COMPUTED_VALUE"""),"is")</f>
        <v>is</v>
      </c>
      <c r="J13" s="6" t="str">
        <f>IFERROR(__xludf.DUMMYFUNCTION("""COMPUTED_VALUE"""),"very")</f>
        <v>very</v>
      </c>
      <c r="K13" s="6" t="str">
        <f>IFERROR(__xludf.DUMMYFUNCTION("""COMPUTED_VALUE"""),"cold.")</f>
        <v>cold.</v>
      </c>
      <c r="L13" s="6"/>
      <c r="M13" s="6"/>
      <c r="N13" s="6"/>
      <c r="O13" s="6"/>
      <c r="P13" s="6"/>
      <c r="Q13" s="6"/>
      <c r="R13" s="20">
        <v>2.0</v>
      </c>
      <c r="S13" s="11">
        <v>14.0</v>
      </c>
    </row>
    <row r="14" ht="25.5" customHeight="1">
      <c r="A14" s="4">
        <v>13.0</v>
      </c>
      <c r="B14" s="13" t="s">
        <v>11</v>
      </c>
      <c r="C14" s="14" t="s">
        <v>12</v>
      </c>
      <c r="D14" s="15" t="s">
        <v>61</v>
      </c>
      <c r="E14" s="16" t="s">
        <v>62</v>
      </c>
      <c r="F14" s="17" t="s">
        <v>63</v>
      </c>
      <c r="G14" s="18" t="s">
        <v>64</v>
      </c>
      <c r="H14" s="14" t="str">
        <f>IFERROR(__xludf.DUMMYFUNCTION("split(G14, "" "")"),"Pluto")</f>
        <v>Pluto</v>
      </c>
      <c r="I14" s="14" t="str">
        <f>IFERROR(__xludf.DUMMYFUNCTION("""COMPUTED_VALUE"""),"is")</f>
        <v>is</v>
      </c>
      <c r="J14" s="14" t="str">
        <f>IFERROR(__xludf.DUMMYFUNCTION("""COMPUTED_VALUE"""),"a")</f>
        <v>a</v>
      </c>
      <c r="K14" s="14" t="str">
        <f>IFERROR(__xludf.DUMMYFUNCTION("""COMPUTED_VALUE"""),"small")</f>
        <v>small</v>
      </c>
      <c r="L14" s="14" t="str">
        <f>IFERROR(__xludf.DUMMYFUNCTION("""COMPUTED_VALUE"""),"planet.")</f>
        <v>planet.</v>
      </c>
      <c r="M14" s="14"/>
      <c r="N14" s="14"/>
      <c r="O14" s="14"/>
      <c r="P14" s="14"/>
      <c r="Q14" s="14"/>
      <c r="R14" s="19">
        <v>3.0</v>
      </c>
      <c r="S14" s="11">
        <v>145.0</v>
      </c>
    </row>
    <row r="15" ht="25.5" customHeight="1">
      <c r="A15" s="12">
        <v>14.0</v>
      </c>
      <c r="B15" s="5" t="s">
        <v>11</v>
      </c>
      <c r="C15" s="6" t="s">
        <v>12</v>
      </c>
      <c r="D15" s="7" t="s">
        <v>65</v>
      </c>
      <c r="E15" s="8" t="s">
        <v>66</v>
      </c>
      <c r="F15" s="9" t="s">
        <v>67</v>
      </c>
      <c r="G15" s="21" t="s">
        <v>68</v>
      </c>
      <c r="H15" s="6" t="str">
        <f>IFERROR(__xludf.DUMMYFUNCTION("split(G15, "" "")"),"The")</f>
        <v>The</v>
      </c>
      <c r="I15" s="6" t="str">
        <f>IFERROR(__xludf.DUMMYFUNCTION("""COMPUTED_VALUE"""),"world")</f>
        <v>world</v>
      </c>
      <c r="J15" s="6" t="str">
        <f>IFERROR(__xludf.DUMMYFUNCTION("""COMPUTED_VALUE"""),"is")</f>
        <v>is</v>
      </c>
      <c r="K15" s="6" t="str">
        <f>IFERROR(__xludf.DUMMYFUNCTION("""COMPUTED_VALUE"""),"very")</f>
        <v>very</v>
      </c>
      <c r="L15" s="6" t="str">
        <f>IFERROR(__xludf.DUMMYFUNCTION("""COMPUTED_VALUE"""),"big.")</f>
        <v>big.</v>
      </c>
      <c r="M15" s="6"/>
      <c r="N15" s="6"/>
      <c r="O15" s="6"/>
      <c r="P15" s="6"/>
      <c r="Q15" s="6"/>
      <c r="R15" s="20">
        <v>3.0</v>
      </c>
      <c r="S15" s="11">
        <v>125.0</v>
      </c>
    </row>
    <row r="16" ht="25.5" customHeight="1">
      <c r="A16" s="4">
        <v>15.0</v>
      </c>
      <c r="B16" s="5" t="s">
        <v>11</v>
      </c>
      <c r="C16" s="6" t="s">
        <v>12</v>
      </c>
      <c r="D16" s="7" t="s">
        <v>69</v>
      </c>
      <c r="E16" s="8" t="s">
        <v>70</v>
      </c>
      <c r="F16" s="9" t="s">
        <v>71</v>
      </c>
      <c r="G16" s="21" t="s">
        <v>72</v>
      </c>
      <c r="H16" s="6" t="str">
        <f>IFERROR(__xludf.DUMMYFUNCTION("split(G16, "" "")"),"We")</f>
        <v>We</v>
      </c>
      <c r="I16" s="6" t="str">
        <f>IFERROR(__xludf.DUMMYFUNCTION("""COMPUTED_VALUE"""),"can")</f>
        <v>can</v>
      </c>
      <c r="J16" s="6" t="str">
        <f>IFERROR(__xludf.DUMMYFUNCTION("""COMPUTED_VALUE"""),"see")</f>
        <v>see</v>
      </c>
      <c r="K16" s="6" t="str">
        <f>IFERROR(__xludf.DUMMYFUNCTION("""COMPUTED_VALUE"""),"the")</f>
        <v>the</v>
      </c>
      <c r="L16" s="6" t="str">
        <f>IFERROR(__xludf.DUMMYFUNCTION("""COMPUTED_VALUE"""),"Milky")</f>
        <v>Milky</v>
      </c>
      <c r="M16" s="6" t="str">
        <f>IFERROR(__xludf.DUMMYFUNCTION("""COMPUTED_VALUE"""),"Way.")</f>
        <v>Way.</v>
      </c>
      <c r="N16" s="6"/>
      <c r="O16" s="6"/>
      <c r="P16" s="6"/>
      <c r="Q16" s="6"/>
      <c r="R16" s="20">
        <v>4.0</v>
      </c>
      <c r="S16" s="20">
        <v>1356.0</v>
      </c>
    </row>
    <row r="17" ht="25.5" customHeight="1">
      <c r="A17" s="12">
        <v>16.0</v>
      </c>
      <c r="B17" s="13" t="s">
        <v>11</v>
      </c>
      <c r="C17" s="14" t="s">
        <v>12</v>
      </c>
      <c r="D17" s="15" t="s">
        <v>73</v>
      </c>
      <c r="E17" s="16" t="s">
        <v>74</v>
      </c>
      <c r="F17" s="17" t="s">
        <v>75</v>
      </c>
      <c r="G17" s="18" t="s">
        <v>76</v>
      </c>
      <c r="H17" s="14" t="str">
        <f>IFERROR(__xludf.DUMMYFUNCTION("split(G17, "" "")"),"The")</f>
        <v>The</v>
      </c>
      <c r="I17" s="14" t="str">
        <f>IFERROR(__xludf.DUMMYFUNCTION("""COMPUTED_VALUE"""),"comet")</f>
        <v>comet</v>
      </c>
      <c r="J17" s="14" t="str">
        <f>IFERROR(__xludf.DUMMYFUNCTION("""COMPUTED_VALUE"""),"has")</f>
        <v>has</v>
      </c>
      <c r="K17" s="14" t="str">
        <f>IFERROR(__xludf.DUMMYFUNCTION("""COMPUTED_VALUE"""),"a")</f>
        <v>a</v>
      </c>
      <c r="L17" s="14" t="str">
        <f>IFERROR(__xludf.DUMMYFUNCTION("""COMPUTED_VALUE"""),"long")</f>
        <v>long</v>
      </c>
      <c r="M17" s="14" t="str">
        <f>IFERROR(__xludf.DUMMYFUNCTION("""COMPUTED_VALUE"""),"tail.")</f>
        <v>tail.</v>
      </c>
      <c r="N17" s="14"/>
      <c r="O17" s="14"/>
      <c r="P17" s="14"/>
      <c r="Q17" s="14"/>
      <c r="R17" s="19">
        <v>4.0</v>
      </c>
      <c r="S17" s="20">
        <v>1256.0</v>
      </c>
    </row>
    <row r="18" ht="25.5" customHeight="1">
      <c r="A18" s="4">
        <v>17.0</v>
      </c>
      <c r="B18" s="5" t="s">
        <v>11</v>
      </c>
      <c r="C18" s="6" t="s">
        <v>12</v>
      </c>
      <c r="D18" s="7" t="s">
        <v>77</v>
      </c>
      <c r="E18" s="8" t="s">
        <v>78</v>
      </c>
      <c r="F18" s="9" t="s">
        <v>79</v>
      </c>
      <c r="G18" s="21" t="s">
        <v>80</v>
      </c>
      <c r="H18" s="6" t="str">
        <f>IFERROR(__xludf.DUMMYFUNCTION("split(G18, "" "")"),"The")</f>
        <v>The</v>
      </c>
      <c r="I18" s="6" t="str">
        <f>IFERROR(__xludf.DUMMYFUNCTION("""COMPUTED_VALUE"""),"asteroid")</f>
        <v>asteroid</v>
      </c>
      <c r="J18" s="6" t="str">
        <f>IFERROR(__xludf.DUMMYFUNCTION("""COMPUTED_VALUE"""),"is")</f>
        <v>is</v>
      </c>
      <c r="K18" s="6" t="str">
        <f>IFERROR(__xludf.DUMMYFUNCTION("""COMPUTED_VALUE"""),"a")</f>
        <v>a</v>
      </c>
      <c r="L18" s="6" t="str">
        <f>IFERROR(__xludf.DUMMYFUNCTION("""COMPUTED_VALUE"""),"big")</f>
        <v>big</v>
      </c>
      <c r="M18" s="6" t="str">
        <f>IFERROR(__xludf.DUMMYFUNCTION("""COMPUTED_VALUE"""),"rock.")</f>
        <v>rock.</v>
      </c>
      <c r="N18" s="6"/>
      <c r="O18" s="6"/>
      <c r="P18" s="6"/>
      <c r="Q18" s="6"/>
      <c r="R18" s="20">
        <v>4.0</v>
      </c>
      <c r="S18" s="20">
        <v>1256.0</v>
      </c>
    </row>
    <row r="19" ht="25.5" customHeight="1">
      <c r="A19" s="12">
        <v>18.0</v>
      </c>
      <c r="B19" s="13" t="s">
        <v>11</v>
      </c>
      <c r="C19" s="14" t="s">
        <v>12</v>
      </c>
      <c r="D19" s="15" t="s">
        <v>81</v>
      </c>
      <c r="E19" s="16" t="s">
        <v>82</v>
      </c>
      <c r="F19" s="17" t="s">
        <v>83</v>
      </c>
      <c r="G19" s="18" t="s">
        <v>84</v>
      </c>
      <c r="H19" s="14" t="str">
        <f>IFERROR(__xludf.DUMMYFUNCTION("split(G19, "" "")"),"Look!")</f>
        <v>Look!</v>
      </c>
      <c r="I19" s="14" t="str">
        <f>IFERROR(__xludf.DUMMYFUNCTION("""COMPUTED_VALUE"""),"A")</f>
        <v>A</v>
      </c>
      <c r="J19" s="14" t="str">
        <f>IFERROR(__xludf.DUMMYFUNCTION("""COMPUTED_VALUE"""),"meteor")</f>
        <v>meteor</v>
      </c>
      <c r="K19" s="14" t="str">
        <f>IFERROR(__xludf.DUMMYFUNCTION("""COMPUTED_VALUE"""),"is")</f>
        <v>is</v>
      </c>
      <c r="L19" s="14" t="str">
        <f>IFERROR(__xludf.DUMMYFUNCTION("""COMPUTED_VALUE"""),"falling.")</f>
        <v>falling.</v>
      </c>
      <c r="M19" s="14"/>
      <c r="N19" s="14"/>
      <c r="O19" s="14"/>
      <c r="P19" s="14"/>
      <c r="Q19" s="14"/>
      <c r="R19" s="19">
        <v>3.0</v>
      </c>
      <c r="S19" s="20">
        <v>135.0</v>
      </c>
    </row>
    <row r="20" ht="25.5" customHeight="1">
      <c r="A20" s="4">
        <v>19.0</v>
      </c>
      <c r="B20" s="5" t="s">
        <v>11</v>
      </c>
      <c r="C20" s="6" t="s">
        <v>85</v>
      </c>
      <c r="D20" s="7" t="s">
        <v>86</v>
      </c>
      <c r="E20" s="8" t="s">
        <v>87</v>
      </c>
      <c r="F20" s="9" t="s">
        <v>88</v>
      </c>
      <c r="G20" s="21" t="s">
        <v>89</v>
      </c>
      <c r="H20" s="6" t="str">
        <f>IFERROR(__xludf.DUMMYFUNCTION("split(G20, "" "")"),"There")</f>
        <v>There</v>
      </c>
      <c r="I20" s="6" t="str">
        <f>IFERROR(__xludf.DUMMYFUNCTION("""COMPUTED_VALUE"""),"are")</f>
        <v>are</v>
      </c>
      <c r="J20" s="6" t="str">
        <f>IFERROR(__xludf.DUMMYFUNCTION("""COMPUTED_VALUE"""),"clouds")</f>
        <v>clouds</v>
      </c>
      <c r="K20" s="6" t="str">
        <f>IFERROR(__xludf.DUMMYFUNCTION("""COMPUTED_VALUE"""),"in")</f>
        <v>in</v>
      </c>
      <c r="L20" s="6" t="str">
        <f>IFERROR(__xludf.DUMMYFUNCTION("""COMPUTED_VALUE"""),"the")</f>
        <v>the</v>
      </c>
      <c r="M20" s="6" t="str">
        <f>IFERROR(__xludf.DUMMYFUNCTION("""COMPUTED_VALUE"""),"sky.")</f>
        <v>sky.</v>
      </c>
      <c r="N20" s="6"/>
      <c r="O20" s="6"/>
      <c r="P20" s="6"/>
      <c r="Q20" s="6"/>
      <c r="R20" s="20">
        <v>3.0</v>
      </c>
      <c r="S20" s="20">
        <v>136.0</v>
      </c>
    </row>
    <row r="21" ht="25.5" customHeight="1">
      <c r="A21" s="12">
        <v>20.0</v>
      </c>
      <c r="B21" s="13" t="s">
        <v>11</v>
      </c>
      <c r="C21" s="14" t="s">
        <v>85</v>
      </c>
      <c r="D21" s="15" t="s">
        <v>90</v>
      </c>
      <c r="E21" s="16" t="s">
        <v>91</v>
      </c>
      <c r="F21" s="17" t="s">
        <v>92</v>
      </c>
      <c r="G21" s="18" t="s">
        <v>93</v>
      </c>
      <c r="H21" s="14" t="str">
        <f>IFERROR(__xludf.DUMMYFUNCTION("split(G21, "" "")"),"The")</f>
        <v>The</v>
      </c>
      <c r="I21" s="14" t="str">
        <f>IFERROR(__xludf.DUMMYFUNCTION("""COMPUTED_VALUE"""),"sky")</f>
        <v>sky</v>
      </c>
      <c r="J21" s="14" t="str">
        <f>IFERROR(__xludf.DUMMYFUNCTION("""COMPUTED_VALUE"""),"is")</f>
        <v>is</v>
      </c>
      <c r="K21" s="14" t="str">
        <f>IFERROR(__xludf.DUMMYFUNCTION("""COMPUTED_VALUE"""),"dark")</f>
        <v>dark</v>
      </c>
      <c r="L21" s="14" t="str">
        <f>IFERROR(__xludf.DUMMYFUNCTION("""COMPUTED_VALUE"""),"at")</f>
        <v>at</v>
      </c>
      <c r="M21" s="14" t="str">
        <f>IFERROR(__xludf.DUMMYFUNCTION("""COMPUTED_VALUE"""),"night.")</f>
        <v>night.</v>
      </c>
      <c r="N21" s="14"/>
      <c r="O21" s="14"/>
      <c r="P21" s="14"/>
      <c r="Q21" s="14"/>
      <c r="R21" s="19">
        <v>4.0</v>
      </c>
      <c r="S21" s="20">
        <v>1246.0</v>
      </c>
    </row>
    <row r="22" ht="25.5" customHeight="1">
      <c r="A22" s="4">
        <v>21.0</v>
      </c>
      <c r="B22" s="5" t="s">
        <v>11</v>
      </c>
      <c r="C22" s="6" t="s">
        <v>85</v>
      </c>
      <c r="D22" s="7" t="s">
        <v>94</v>
      </c>
      <c r="E22" s="8" t="s">
        <v>95</v>
      </c>
      <c r="F22" s="9" t="s">
        <v>96</v>
      </c>
      <c r="G22" s="10" t="s">
        <v>97</v>
      </c>
      <c r="H22" s="6" t="str">
        <f>IFERROR(__xludf.DUMMYFUNCTION("split(G22, "" "")"),"The")</f>
        <v>The</v>
      </c>
      <c r="I22" s="6" t="str">
        <f>IFERROR(__xludf.DUMMYFUNCTION("""COMPUTED_VALUE"""),"sun")</f>
        <v>sun</v>
      </c>
      <c r="J22" s="6" t="str">
        <f>IFERROR(__xludf.DUMMYFUNCTION("""COMPUTED_VALUE"""),"shines")</f>
        <v>shines</v>
      </c>
      <c r="K22" s="6" t="str">
        <f>IFERROR(__xludf.DUMMYFUNCTION("""COMPUTED_VALUE"""),"during")</f>
        <v>during</v>
      </c>
      <c r="L22" s="6" t="str">
        <f>IFERROR(__xludf.DUMMYFUNCTION("""COMPUTED_VALUE"""),"the")</f>
        <v>the</v>
      </c>
      <c r="M22" s="6" t="str">
        <f>IFERROR(__xludf.DUMMYFUNCTION("""COMPUTED_VALUE"""),"day.")</f>
        <v>day.</v>
      </c>
      <c r="N22" s="6"/>
      <c r="O22" s="6"/>
      <c r="P22" s="6"/>
      <c r="Q22" s="6"/>
      <c r="R22" s="20">
        <v>4.0</v>
      </c>
      <c r="S22" s="20">
        <v>1236.0</v>
      </c>
    </row>
    <row r="23" ht="25.5" customHeight="1">
      <c r="A23" s="12">
        <v>22.0</v>
      </c>
      <c r="B23" s="13" t="s">
        <v>11</v>
      </c>
      <c r="C23" s="14" t="s">
        <v>85</v>
      </c>
      <c r="D23" s="15" t="s">
        <v>98</v>
      </c>
      <c r="E23" s="16" t="s">
        <v>99</v>
      </c>
      <c r="F23" s="17" t="s">
        <v>100</v>
      </c>
      <c r="G23" s="10" t="s">
        <v>101</v>
      </c>
      <c r="H23" s="14" t="str">
        <f>IFERROR(__xludf.DUMMYFUNCTION("split(G23, "" "")"),"The")</f>
        <v>The</v>
      </c>
      <c r="I23" s="14" t="str">
        <f>IFERROR(__xludf.DUMMYFUNCTION("""COMPUTED_VALUE"""),"sun")</f>
        <v>sun</v>
      </c>
      <c r="J23" s="14" t="str">
        <f>IFERROR(__xludf.DUMMYFUNCTION("""COMPUTED_VALUE"""),"gives")</f>
        <v>gives</v>
      </c>
      <c r="K23" s="14" t="str">
        <f>IFERROR(__xludf.DUMMYFUNCTION("""COMPUTED_VALUE"""),"us")</f>
        <v>us</v>
      </c>
      <c r="L23" s="14" t="str">
        <f>IFERROR(__xludf.DUMMYFUNCTION("""COMPUTED_VALUE"""),"light.")</f>
        <v>light.</v>
      </c>
      <c r="M23" s="14"/>
      <c r="N23" s="14"/>
      <c r="O23" s="14"/>
      <c r="P23" s="14"/>
      <c r="Q23" s="14"/>
      <c r="R23" s="19">
        <v>4.0</v>
      </c>
      <c r="S23" s="20">
        <v>1235.0</v>
      </c>
    </row>
    <row r="24" ht="25.5" customHeight="1">
      <c r="A24" s="4">
        <v>23.0</v>
      </c>
      <c r="B24" s="5" t="s">
        <v>11</v>
      </c>
      <c r="C24" s="6" t="s">
        <v>85</v>
      </c>
      <c r="D24" s="7" t="s">
        <v>102</v>
      </c>
      <c r="E24" s="8" t="s">
        <v>103</v>
      </c>
      <c r="F24" s="9" t="s">
        <v>104</v>
      </c>
      <c r="G24" s="10" t="s">
        <v>105</v>
      </c>
      <c r="H24" s="6" t="str">
        <f>IFERROR(__xludf.DUMMYFUNCTION("split(G24, "" "")"),"Space")</f>
        <v>Space</v>
      </c>
      <c r="I24" s="6" t="str">
        <f>IFERROR(__xludf.DUMMYFUNCTION("""COMPUTED_VALUE"""),"is")</f>
        <v>is</v>
      </c>
      <c r="J24" s="6" t="str">
        <f>IFERROR(__xludf.DUMMYFUNCTION("""COMPUTED_VALUE"""),"very")</f>
        <v>very</v>
      </c>
      <c r="K24" s="6" t="str">
        <f>IFERROR(__xludf.DUMMYFUNCTION("""COMPUTED_VALUE"""),"dark.")</f>
        <v>dark.</v>
      </c>
      <c r="L24" s="6"/>
      <c r="M24" s="6"/>
      <c r="N24" s="6"/>
      <c r="O24" s="6"/>
      <c r="P24" s="6"/>
      <c r="Q24" s="6"/>
      <c r="R24" s="20">
        <v>2.0</v>
      </c>
      <c r="S24" s="20">
        <v>14.0</v>
      </c>
    </row>
    <row r="25" ht="25.5" customHeight="1">
      <c r="A25" s="12">
        <v>24.0</v>
      </c>
      <c r="B25" s="13" t="s">
        <v>11</v>
      </c>
      <c r="C25" s="14" t="s">
        <v>85</v>
      </c>
      <c r="D25" s="15" t="s">
        <v>106</v>
      </c>
      <c r="E25" s="16" t="s">
        <v>107</v>
      </c>
      <c r="F25" s="17" t="s">
        <v>108</v>
      </c>
      <c r="G25" s="18" t="s">
        <v>109</v>
      </c>
      <c r="H25" s="14" t="str">
        <f>IFERROR(__xludf.DUMMYFUNCTION("split(G25, "" "")"),"There")</f>
        <v>There</v>
      </c>
      <c r="I25" s="14" t="str">
        <f>IFERROR(__xludf.DUMMYFUNCTION("""COMPUTED_VALUE"""),"is")</f>
        <v>is</v>
      </c>
      <c r="J25" s="14" t="str">
        <f>IFERROR(__xludf.DUMMYFUNCTION("""COMPUTED_VALUE"""),"no")</f>
        <v>no</v>
      </c>
      <c r="K25" s="14" t="str">
        <f>IFERROR(__xludf.DUMMYFUNCTION("""COMPUTED_VALUE"""),"air")</f>
        <v>air</v>
      </c>
      <c r="L25" s="14" t="str">
        <f>IFERROR(__xludf.DUMMYFUNCTION("""COMPUTED_VALUE"""),"in")</f>
        <v>in</v>
      </c>
      <c r="M25" s="14" t="str">
        <f>IFERROR(__xludf.DUMMYFUNCTION("""COMPUTED_VALUE"""),"space.")</f>
        <v>space.</v>
      </c>
      <c r="N25" s="14"/>
      <c r="O25" s="14"/>
      <c r="P25" s="14"/>
      <c r="Q25" s="14"/>
      <c r="R25" s="19">
        <v>4.0</v>
      </c>
      <c r="S25" s="20">
        <v>1346.0</v>
      </c>
    </row>
    <row r="26" ht="25.5" customHeight="1">
      <c r="A26" s="4">
        <v>25.0</v>
      </c>
      <c r="B26" s="5" t="s">
        <v>11</v>
      </c>
      <c r="C26" s="6" t="s">
        <v>85</v>
      </c>
      <c r="D26" s="7" t="s">
        <v>110</v>
      </c>
      <c r="E26" s="8" t="s">
        <v>111</v>
      </c>
      <c r="F26" s="9" t="s">
        <v>112</v>
      </c>
      <c r="G26" s="21" t="s">
        <v>113</v>
      </c>
      <c r="H26" s="6" t="str">
        <f>IFERROR(__xludf.DUMMYFUNCTION("split(G26, "" "")"),"There")</f>
        <v>There</v>
      </c>
      <c r="I26" s="6" t="str">
        <f>IFERROR(__xludf.DUMMYFUNCTION("""COMPUTED_VALUE"""),"is")</f>
        <v>is</v>
      </c>
      <c r="J26" s="6" t="str">
        <f>IFERROR(__xludf.DUMMYFUNCTION("""COMPUTED_VALUE"""),"no")</f>
        <v>no</v>
      </c>
      <c r="K26" s="6" t="str">
        <f>IFERROR(__xludf.DUMMYFUNCTION("""COMPUTED_VALUE"""),"wind")</f>
        <v>wind</v>
      </c>
      <c r="L26" s="6" t="str">
        <f>IFERROR(__xludf.DUMMYFUNCTION("""COMPUTED_VALUE"""),"on")</f>
        <v>on</v>
      </c>
      <c r="M26" s="6" t="str">
        <f>IFERROR(__xludf.DUMMYFUNCTION("""COMPUTED_VALUE"""),"the")</f>
        <v>the</v>
      </c>
      <c r="N26" s="6" t="str">
        <f>IFERROR(__xludf.DUMMYFUNCTION("""COMPUTED_VALUE"""),"moon.")</f>
        <v>moon.</v>
      </c>
      <c r="O26" s="6"/>
      <c r="P26" s="6"/>
      <c r="Q26" s="6"/>
      <c r="R26" s="20">
        <v>4.0</v>
      </c>
      <c r="S26" s="20">
        <v>1347.0</v>
      </c>
    </row>
    <row r="27" ht="25.5" customHeight="1">
      <c r="A27" s="12">
        <v>26.0</v>
      </c>
      <c r="B27" s="13" t="s">
        <v>11</v>
      </c>
      <c r="C27" s="14" t="s">
        <v>85</v>
      </c>
      <c r="D27" s="15" t="s">
        <v>114</v>
      </c>
      <c r="E27" s="16" t="s">
        <v>115</v>
      </c>
      <c r="F27" s="17" t="s">
        <v>116</v>
      </c>
      <c r="G27" s="10" t="s">
        <v>117</v>
      </c>
      <c r="H27" s="14" t="str">
        <f>IFERROR(__xludf.DUMMYFUNCTION("split(G27, "" "")"),"The")</f>
        <v>The</v>
      </c>
      <c r="I27" s="14" t="str">
        <f>IFERROR(__xludf.DUMMYFUNCTION("""COMPUTED_VALUE"""),"sun")</f>
        <v>sun</v>
      </c>
      <c r="J27" s="14" t="str">
        <f>IFERROR(__xludf.DUMMYFUNCTION("""COMPUTED_VALUE"""),"looks")</f>
        <v>looks</v>
      </c>
      <c r="K27" s="14" t="str">
        <f>IFERROR(__xludf.DUMMYFUNCTION("""COMPUTED_VALUE"""),"like")</f>
        <v>like</v>
      </c>
      <c r="L27" s="14" t="str">
        <f>IFERROR(__xludf.DUMMYFUNCTION("""COMPUTED_VALUE"""),"fire.")</f>
        <v>fire.</v>
      </c>
      <c r="M27" s="14"/>
      <c r="N27" s="14"/>
      <c r="O27" s="14"/>
      <c r="P27" s="14"/>
      <c r="Q27" s="14"/>
      <c r="R27" s="19">
        <v>4.0</v>
      </c>
      <c r="S27" s="20">
        <v>1235.0</v>
      </c>
    </row>
    <row r="28" ht="25.5" customHeight="1">
      <c r="A28" s="4">
        <v>27.0</v>
      </c>
      <c r="B28" s="5" t="s">
        <v>11</v>
      </c>
      <c r="C28" s="6" t="s">
        <v>85</v>
      </c>
      <c r="D28" s="7" t="s">
        <v>118</v>
      </c>
      <c r="E28" s="8" t="s">
        <v>119</v>
      </c>
      <c r="F28" s="9" t="s">
        <v>120</v>
      </c>
      <c r="G28" s="21" t="s">
        <v>121</v>
      </c>
      <c r="H28" s="6" t="str">
        <f>IFERROR(__xludf.DUMMYFUNCTION("split(G28, "" "")"),"Some")</f>
        <v>Some</v>
      </c>
      <c r="I28" s="6" t="str">
        <f>IFERROR(__xludf.DUMMYFUNCTION("""COMPUTED_VALUE"""),"planets")</f>
        <v>planets</v>
      </c>
      <c r="J28" s="6" t="str">
        <f>IFERROR(__xludf.DUMMYFUNCTION("""COMPUTED_VALUE"""),"have")</f>
        <v>have</v>
      </c>
      <c r="K28" s="6" t="str">
        <f>IFERROR(__xludf.DUMMYFUNCTION("""COMPUTED_VALUE"""),"ice.")</f>
        <v>ice.</v>
      </c>
      <c r="L28" s="6"/>
      <c r="M28" s="6"/>
      <c r="N28" s="6"/>
      <c r="O28" s="6"/>
      <c r="P28" s="6"/>
      <c r="Q28" s="6"/>
      <c r="R28" s="20">
        <v>3.0</v>
      </c>
      <c r="S28" s="20">
        <v>124.0</v>
      </c>
    </row>
    <row r="29" ht="25.5" customHeight="1">
      <c r="A29" s="12">
        <v>28.0</v>
      </c>
      <c r="B29" s="13" t="s">
        <v>11</v>
      </c>
      <c r="C29" s="14" t="s">
        <v>85</v>
      </c>
      <c r="D29" s="15" t="s">
        <v>122</v>
      </c>
      <c r="E29" s="16" t="s">
        <v>123</v>
      </c>
      <c r="F29" s="17" t="s">
        <v>124</v>
      </c>
      <c r="G29" s="18" t="s">
        <v>125</v>
      </c>
      <c r="H29" s="14" t="str">
        <f>IFERROR(__xludf.DUMMYFUNCTION("split(G29, "" "")"),"Earth")</f>
        <v>Earth</v>
      </c>
      <c r="I29" s="14" t="str">
        <f>IFERROR(__xludf.DUMMYFUNCTION("""COMPUTED_VALUE"""),"has")</f>
        <v>has</v>
      </c>
      <c r="J29" s="14" t="str">
        <f>IFERROR(__xludf.DUMMYFUNCTION("""COMPUTED_VALUE"""),"a")</f>
        <v>a</v>
      </c>
      <c r="K29" s="14" t="str">
        <f>IFERROR(__xludf.DUMMYFUNCTION("""COMPUTED_VALUE"""),"lot")</f>
        <v>lot</v>
      </c>
      <c r="L29" s="14" t="str">
        <f>IFERROR(__xludf.DUMMYFUNCTION("""COMPUTED_VALUE"""),"of")</f>
        <v>of</v>
      </c>
      <c r="M29" s="14" t="str">
        <f>IFERROR(__xludf.DUMMYFUNCTION("""COMPUTED_VALUE"""),"water.")</f>
        <v>water.</v>
      </c>
      <c r="N29" s="14"/>
      <c r="O29" s="14"/>
      <c r="P29" s="14"/>
      <c r="Q29" s="14"/>
      <c r="R29" s="19">
        <v>3.0</v>
      </c>
      <c r="S29" s="20">
        <v>146.0</v>
      </c>
    </row>
    <row r="30" ht="25.5" customHeight="1">
      <c r="A30" s="4">
        <v>29.0</v>
      </c>
      <c r="B30" s="5" t="s">
        <v>11</v>
      </c>
      <c r="C30" s="6" t="s">
        <v>85</v>
      </c>
      <c r="D30" s="7" t="s">
        <v>126</v>
      </c>
      <c r="E30" s="8" t="s">
        <v>127</v>
      </c>
      <c r="F30" s="9" t="s">
        <v>128</v>
      </c>
      <c r="G30" s="10" t="s">
        <v>129</v>
      </c>
      <c r="H30" s="6" t="str">
        <f>IFERROR(__xludf.DUMMYFUNCTION("split(G30, "" "")"),"The")</f>
        <v>The</v>
      </c>
      <c r="I30" s="6" t="str">
        <f>IFERROR(__xludf.DUMMYFUNCTION("""COMPUTED_VALUE"""),"moon")</f>
        <v>moon</v>
      </c>
      <c r="J30" s="6" t="str">
        <f>IFERROR(__xludf.DUMMYFUNCTION("""COMPUTED_VALUE"""),"is")</f>
        <v>is</v>
      </c>
      <c r="K30" s="6" t="str">
        <f>IFERROR(__xludf.DUMMYFUNCTION("""COMPUTED_VALUE"""),"made")</f>
        <v>made</v>
      </c>
      <c r="L30" s="6" t="str">
        <f>IFERROR(__xludf.DUMMYFUNCTION("""COMPUTED_VALUE"""),"of")</f>
        <v>of</v>
      </c>
      <c r="M30" s="6" t="str">
        <f>IFERROR(__xludf.DUMMYFUNCTION("""COMPUTED_VALUE"""),"rock.")</f>
        <v>rock.</v>
      </c>
      <c r="N30" s="6"/>
      <c r="O30" s="6"/>
      <c r="P30" s="6"/>
      <c r="Q30" s="6"/>
      <c r="R30" s="20">
        <v>4.0</v>
      </c>
      <c r="S30" s="20">
        <v>1246.0</v>
      </c>
    </row>
    <row r="31" ht="25.5" customHeight="1">
      <c r="A31" s="12">
        <v>30.0</v>
      </c>
      <c r="B31" s="5" t="s">
        <v>11</v>
      </c>
      <c r="C31" s="6" t="s">
        <v>85</v>
      </c>
      <c r="D31" s="7" t="s">
        <v>130</v>
      </c>
      <c r="E31" s="8" t="s">
        <v>131</v>
      </c>
      <c r="F31" s="9" t="s">
        <v>132</v>
      </c>
      <c r="G31" s="10" t="s">
        <v>133</v>
      </c>
      <c r="H31" s="6" t="str">
        <f>IFERROR(__xludf.DUMMYFUNCTION("split(G31, "" "")"),"Jupiter")</f>
        <v>Jupiter</v>
      </c>
      <c r="I31" s="6" t="str">
        <f>IFERROR(__xludf.DUMMYFUNCTION("""COMPUTED_VALUE"""),"is")</f>
        <v>is</v>
      </c>
      <c r="J31" s="6" t="str">
        <f>IFERROR(__xludf.DUMMYFUNCTION("""COMPUTED_VALUE"""),"made")</f>
        <v>made</v>
      </c>
      <c r="K31" s="6" t="str">
        <f>IFERROR(__xludf.DUMMYFUNCTION("""COMPUTED_VALUE"""),"of")</f>
        <v>of</v>
      </c>
      <c r="L31" s="6" t="str">
        <f>IFERROR(__xludf.DUMMYFUNCTION("""COMPUTED_VALUE"""),"gas.")</f>
        <v>gas.</v>
      </c>
      <c r="M31" s="6"/>
      <c r="N31" s="6"/>
      <c r="O31" s="6"/>
      <c r="P31" s="6"/>
      <c r="Q31" s="6"/>
      <c r="R31" s="20">
        <v>3.0</v>
      </c>
      <c r="S31" s="20">
        <v>135.0</v>
      </c>
    </row>
    <row r="32" ht="25.5" customHeight="1">
      <c r="A32" s="4">
        <v>31.0</v>
      </c>
      <c r="B32" s="13" t="s">
        <v>11</v>
      </c>
      <c r="C32" s="14" t="s">
        <v>85</v>
      </c>
      <c r="D32" s="15" t="s">
        <v>134</v>
      </c>
      <c r="E32" s="16" t="s">
        <v>135</v>
      </c>
      <c r="F32" s="17" t="s">
        <v>136</v>
      </c>
      <c r="G32" s="18" t="s">
        <v>137</v>
      </c>
      <c r="H32" s="14" t="str">
        <f>IFERROR(__xludf.DUMMYFUNCTION("split(G32, "" "")"),"The")</f>
        <v>The</v>
      </c>
      <c r="I32" s="14" t="str">
        <f>IFERROR(__xludf.DUMMYFUNCTION("""COMPUTED_VALUE"""),"spaceship")</f>
        <v>spaceship</v>
      </c>
      <c r="J32" s="14" t="str">
        <f>IFERROR(__xludf.DUMMYFUNCTION("""COMPUTED_VALUE"""),"landed")</f>
        <v>landed</v>
      </c>
      <c r="K32" s="14" t="str">
        <f>IFERROR(__xludf.DUMMYFUNCTION("""COMPUTED_VALUE"""),"on")</f>
        <v>on</v>
      </c>
      <c r="L32" s="14" t="str">
        <f>IFERROR(__xludf.DUMMYFUNCTION("""COMPUTED_VALUE"""),"the")</f>
        <v>the</v>
      </c>
      <c r="M32" s="14" t="str">
        <f>IFERROR(__xludf.DUMMYFUNCTION("""COMPUTED_VALUE"""),"ground.")</f>
        <v>ground.</v>
      </c>
      <c r="N32" s="14"/>
      <c r="O32" s="14"/>
      <c r="P32" s="14"/>
      <c r="Q32" s="14"/>
      <c r="R32" s="19">
        <v>4.0</v>
      </c>
      <c r="S32" s="20">
        <v>1236.0</v>
      </c>
    </row>
    <row r="33" ht="25.5" customHeight="1">
      <c r="A33" s="12">
        <v>32.0</v>
      </c>
      <c r="B33" s="13" t="s">
        <v>11</v>
      </c>
      <c r="C33" s="14" t="s">
        <v>85</v>
      </c>
      <c r="D33" s="15" t="s">
        <v>138</v>
      </c>
      <c r="E33" s="16" t="s">
        <v>139</v>
      </c>
      <c r="F33" s="17" t="s">
        <v>140</v>
      </c>
      <c r="G33" s="10" t="s">
        <v>141</v>
      </c>
      <c r="H33" s="14" t="str">
        <f>IFERROR(__xludf.DUMMYFUNCTION("split(G33, "" "")"),"The")</f>
        <v>The</v>
      </c>
      <c r="I33" s="14" t="str">
        <f>IFERROR(__xludf.DUMMYFUNCTION("""COMPUTED_VALUE"""),"moon")</f>
        <v>moon</v>
      </c>
      <c r="J33" s="14" t="str">
        <f>IFERROR(__xludf.DUMMYFUNCTION("""COMPUTED_VALUE"""),"makes")</f>
        <v>makes</v>
      </c>
      <c r="K33" s="14" t="str">
        <f>IFERROR(__xludf.DUMMYFUNCTION("""COMPUTED_VALUE"""),"a")</f>
        <v>a</v>
      </c>
      <c r="L33" s="14" t="str">
        <f>IFERROR(__xludf.DUMMYFUNCTION("""COMPUTED_VALUE"""),"big")</f>
        <v>big</v>
      </c>
      <c r="M33" s="14" t="str">
        <f>IFERROR(__xludf.DUMMYFUNCTION("""COMPUTED_VALUE"""),"shadow.")</f>
        <v>shadow.</v>
      </c>
      <c r="N33" s="14"/>
      <c r="O33" s="14"/>
      <c r="P33" s="14"/>
      <c r="Q33" s="14"/>
      <c r="R33" s="19">
        <v>5.0</v>
      </c>
      <c r="S33" s="19">
        <v>12356.0</v>
      </c>
      <c r="T33" s="22"/>
      <c r="U33" s="22"/>
      <c r="V33" s="22"/>
      <c r="W33" s="22"/>
      <c r="X33" s="22"/>
      <c r="Y33" s="22"/>
      <c r="Z33" s="22"/>
    </row>
    <row r="34" ht="25.5" customHeight="1">
      <c r="A34" s="4">
        <v>33.0</v>
      </c>
      <c r="B34" s="5" t="s">
        <v>11</v>
      </c>
      <c r="C34" s="6" t="s">
        <v>85</v>
      </c>
      <c r="D34" s="7" t="s">
        <v>142</v>
      </c>
      <c r="E34" s="8" t="s">
        <v>143</v>
      </c>
      <c r="F34" s="9" t="s">
        <v>144</v>
      </c>
      <c r="G34" s="21" t="s">
        <v>145</v>
      </c>
      <c r="H34" s="6" t="str">
        <f>IFERROR(__xludf.DUMMYFUNCTION("split(G34, "" "")"),"The")</f>
        <v>The</v>
      </c>
      <c r="I34" s="6" t="str">
        <f>IFERROR(__xludf.DUMMYFUNCTION("""COMPUTED_VALUE"""),"sun")</f>
        <v>sun</v>
      </c>
      <c r="J34" s="6" t="str">
        <f>IFERROR(__xludf.DUMMYFUNCTION("""COMPUTED_VALUE"""),"comes")</f>
        <v>comes</v>
      </c>
      <c r="K34" s="6" t="str">
        <f>IFERROR(__xludf.DUMMYFUNCTION("""COMPUTED_VALUE"""),"up")</f>
        <v>up</v>
      </c>
      <c r="L34" s="6" t="str">
        <f>IFERROR(__xludf.DUMMYFUNCTION("""COMPUTED_VALUE"""),"in")</f>
        <v>in</v>
      </c>
      <c r="M34" s="6" t="str">
        <f>IFERROR(__xludf.DUMMYFUNCTION("""COMPUTED_VALUE"""),"the")</f>
        <v>the</v>
      </c>
      <c r="N34" s="6" t="str">
        <f>IFERROR(__xludf.DUMMYFUNCTION("""COMPUTED_VALUE"""),"morning.")</f>
        <v>morning.</v>
      </c>
      <c r="O34" s="6"/>
      <c r="P34" s="6"/>
      <c r="Q34" s="6"/>
      <c r="R34" s="20">
        <v>5.0</v>
      </c>
      <c r="S34" s="19">
        <v>12347.0</v>
      </c>
    </row>
    <row r="35" ht="25.5" customHeight="1">
      <c r="A35" s="12">
        <v>34.0</v>
      </c>
      <c r="B35" s="13" t="s">
        <v>11</v>
      </c>
      <c r="C35" s="14" t="s">
        <v>85</v>
      </c>
      <c r="D35" s="15" t="s">
        <v>146</v>
      </c>
      <c r="E35" s="16" t="s">
        <v>147</v>
      </c>
      <c r="F35" s="17" t="s">
        <v>148</v>
      </c>
      <c r="G35" s="10" t="s">
        <v>149</v>
      </c>
      <c r="H35" s="14" t="str">
        <f>IFERROR(__xludf.DUMMYFUNCTION("split(G35, "" "")"),"The")</f>
        <v>The</v>
      </c>
      <c r="I35" s="14" t="str">
        <f>IFERROR(__xludf.DUMMYFUNCTION("""COMPUTED_VALUE"""),"sun")</f>
        <v>sun</v>
      </c>
      <c r="J35" s="14" t="str">
        <f>IFERROR(__xludf.DUMMYFUNCTION("""COMPUTED_VALUE"""),"goes")</f>
        <v>goes</v>
      </c>
      <c r="K35" s="14" t="str">
        <f>IFERROR(__xludf.DUMMYFUNCTION("""COMPUTED_VALUE"""),"down")</f>
        <v>down</v>
      </c>
      <c r="L35" s="14" t="str">
        <f>IFERROR(__xludf.DUMMYFUNCTION("""COMPUTED_VALUE"""),"in")</f>
        <v>in</v>
      </c>
      <c r="M35" s="14" t="str">
        <f>IFERROR(__xludf.DUMMYFUNCTION("""COMPUTED_VALUE"""),"the")</f>
        <v>the</v>
      </c>
      <c r="N35" s="14" t="str">
        <f>IFERROR(__xludf.DUMMYFUNCTION("""COMPUTED_VALUE"""),"evening.")</f>
        <v>evening.</v>
      </c>
      <c r="O35" s="14"/>
      <c r="P35" s="14"/>
      <c r="Q35" s="14"/>
      <c r="R35" s="19">
        <v>5.0</v>
      </c>
      <c r="S35" s="19">
        <v>12347.0</v>
      </c>
    </row>
    <row r="36" ht="25.5" customHeight="1">
      <c r="A36" s="4">
        <v>35.0</v>
      </c>
      <c r="B36" s="5" t="s">
        <v>11</v>
      </c>
      <c r="C36" s="6" t="s">
        <v>85</v>
      </c>
      <c r="D36" s="7" t="s">
        <v>150</v>
      </c>
      <c r="E36" s="8" t="s">
        <v>151</v>
      </c>
      <c r="F36" s="9" t="s">
        <v>152</v>
      </c>
      <c r="G36" s="21" t="s">
        <v>153</v>
      </c>
      <c r="H36" s="6" t="str">
        <f>IFERROR(__xludf.DUMMYFUNCTION("split(G36, "" "")"),"I")</f>
        <v>I</v>
      </c>
      <c r="I36" s="6" t="str">
        <f>IFERROR(__xludf.DUMMYFUNCTION("""COMPUTED_VALUE"""),"like")</f>
        <v>like</v>
      </c>
      <c r="J36" s="6" t="str">
        <f>IFERROR(__xludf.DUMMYFUNCTION("""COMPUTED_VALUE"""),"to")</f>
        <v>to</v>
      </c>
      <c r="K36" s="6" t="str">
        <f>IFERROR(__xludf.DUMMYFUNCTION("""COMPUTED_VALUE"""),"watch")</f>
        <v>watch</v>
      </c>
      <c r="L36" s="6" t="str">
        <f>IFERROR(__xludf.DUMMYFUNCTION("""COMPUTED_VALUE"""),"the")</f>
        <v>the</v>
      </c>
      <c r="M36" s="6" t="str">
        <f>IFERROR(__xludf.DUMMYFUNCTION("""COMPUTED_VALUE"""),"sunrise.")</f>
        <v>sunrise.</v>
      </c>
      <c r="N36" s="6"/>
      <c r="O36" s="6"/>
      <c r="P36" s="6"/>
      <c r="Q36" s="6"/>
      <c r="R36" s="20">
        <v>4.0</v>
      </c>
      <c r="S36" s="19">
        <v>1246.0</v>
      </c>
    </row>
    <row r="37" ht="25.5" customHeight="1">
      <c r="A37" s="12">
        <v>36.0</v>
      </c>
      <c r="B37" s="13" t="s">
        <v>11</v>
      </c>
      <c r="C37" s="14" t="s">
        <v>85</v>
      </c>
      <c r="D37" s="15" t="s">
        <v>154</v>
      </c>
      <c r="E37" s="16" t="s">
        <v>155</v>
      </c>
      <c r="F37" s="17" t="s">
        <v>156</v>
      </c>
      <c r="G37" s="18" t="s">
        <v>157</v>
      </c>
      <c r="H37" s="14" t="str">
        <f>IFERROR(__xludf.DUMMYFUNCTION("split(G37, "" "")"),"The")</f>
        <v>The</v>
      </c>
      <c r="I37" s="14" t="str">
        <f>IFERROR(__xludf.DUMMYFUNCTION("""COMPUTED_VALUE"""),"sunset")</f>
        <v>sunset</v>
      </c>
      <c r="J37" s="14" t="str">
        <f>IFERROR(__xludf.DUMMYFUNCTION("""COMPUTED_VALUE"""),"is")</f>
        <v>is</v>
      </c>
      <c r="K37" s="14" t="str">
        <f>IFERROR(__xludf.DUMMYFUNCTION("""COMPUTED_VALUE"""),"very")</f>
        <v>very</v>
      </c>
      <c r="L37" s="14" t="str">
        <f>IFERROR(__xludf.DUMMYFUNCTION("""COMPUTED_VALUE"""),"beautiful.")</f>
        <v>beautiful.</v>
      </c>
      <c r="M37" s="14"/>
      <c r="N37" s="14"/>
      <c r="O37" s="14"/>
      <c r="P37" s="14"/>
      <c r="Q37" s="14"/>
      <c r="R37" s="19">
        <v>3.0</v>
      </c>
      <c r="S37" s="19">
        <v>125.0</v>
      </c>
    </row>
    <row r="38" ht="25.5" customHeight="1">
      <c r="A38" s="4">
        <v>37.0</v>
      </c>
      <c r="B38" s="5" t="s">
        <v>11</v>
      </c>
      <c r="C38" s="6" t="s">
        <v>158</v>
      </c>
      <c r="D38" s="7" t="s">
        <v>159</v>
      </c>
      <c r="E38" s="8" t="s">
        <v>160</v>
      </c>
      <c r="F38" s="9" t="s">
        <v>161</v>
      </c>
      <c r="G38" s="10" t="s">
        <v>162</v>
      </c>
      <c r="H38" s="6" t="str">
        <f>IFERROR(__xludf.DUMMYFUNCTION("split(G38, "" "")"),"The")</f>
        <v>The</v>
      </c>
      <c r="I38" s="6" t="str">
        <f>IFERROR(__xludf.DUMMYFUNCTION("""COMPUTED_VALUE"""),"astronaut")</f>
        <v>astronaut</v>
      </c>
      <c r="J38" s="6" t="str">
        <f>IFERROR(__xludf.DUMMYFUNCTION("""COMPUTED_VALUE"""),"flies")</f>
        <v>flies</v>
      </c>
      <c r="K38" s="6" t="str">
        <f>IFERROR(__xludf.DUMMYFUNCTION("""COMPUTED_VALUE"""),"a")</f>
        <v>a</v>
      </c>
      <c r="L38" s="6" t="str">
        <f>IFERROR(__xludf.DUMMYFUNCTION("""COMPUTED_VALUE"""),"rocket.")</f>
        <v>rocket.</v>
      </c>
      <c r="M38" s="6"/>
      <c r="N38" s="6"/>
      <c r="O38" s="6"/>
      <c r="P38" s="6"/>
      <c r="Q38" s="6"/>
      <c r="R38" s="20">
        <v>4.0</v>
      </c>
      <c r="S38" s="19">
        <v>1235.0</v>
      </c>
    </row>
    <row r="39" ht="25.5" customHeight="1">
      <c r="A39" s="12">
        <v>38.0</v>
      </c>
      <c r="B39" s="13" t="s">
        <v>11</v>
      </c>
      <c r="C39" s="14" t="s">
        <v>158</v>
      </c>
      <c r="D39" s="15" t="s">
        <v>163</v>
      </c>
      <c r="E39" s="16" t="s">
        <v>164</v>
      </c>
      <c r="F39" s="17" t="s">
        <v>165</v>
      </c>
      <c r="G39" s="10" t="s">
        <v>166</v>
      </c>
      <c r="H39" s="14" t="str">
        <f>IFERROR(__xludf.DUMMYFUNCTION("split(G39, "" "")"),"The")</f>
        <v>The</v>
      </c>
      <c r="I39" s="14" t="str">
        <f>IFERROR(__xludf.DUMMYFUNCTION("""COMPUTED_VALUE"""),"rocket")</f>
        <v>rocket</v>
      </c>
      <c r="J39" s="14" t="str">
        <f>IFERROR(__xludf.DUMMYFUNCTION("""COMPUTED_VALUE"""),"goes")</f>
        <v>goes</v>
      </c>
      <c r="K39" s="14" t="str">
        <f>IFERROR(__xludf.DUMMYFUNCTION("""COMPUTED_VALUE"""),"into")</f>
        <v>into</v>
      </c>
      <c r="L39" s="14" t="str">
        <f>IFERROR(__xludf.DUMMYFUNCTION("""COMPUTED_VALUE"""),"space.")</f>
        <v>space.</v>
      </c>
      <c r="M39" s="14"/>
      <c r="N39" s="14"/>
      <c r="O39" s="14"/>
      <c r="P39" s="14"/>
      <c r="Q39" s="14"/>
      <c r="R39" s="19">
        <v>4.0</v>
      </c>
      <c r="S39" s="19">
        <v>1235.0</v>
      </c>
    </row>
    <row r="40" ht="25.5" customHeight="1">
      <c r="A40" s="4">
        <v>39.0</v>
      </c>
      <c r="B40" s="5" t="s">
        <v>11</v>
      </c>
      <c r="C40" s="6" t="s">
        <v>158</v>
      </c>
      <c r="D40" s="7" t="s">
        <v>167</v>
      </c>
      <c r="E40" s="8" t="s">
        <v>168</v>
      </c>
      <c r="F40" s="9" t="s">
        <v>169</v>
      </c>
      <c r="G40" s="21" t="s">
        <v>170</v>
      </c>
      <c r="H40" s="6" t="str">
        <f>IFERROR(__xludf.DUMMYFUNCTION("split(G40, "" "")"),"The")</f>
        <v>The</v>
      </c>
      <c r="I40" s="6" t="str">
        <f>IFERROR(__xludf.DUMMYFUNCTION("""COMPUTED_VALUE"""),"spaceship")</f>
        <v>spaceship</v>
      </c>
      <c r="J40" s="6" t="str">
        <f>IFERROR(__xludf.DUMMYFUNCTION("""COMPUTED_VALUE"""),"is")</f>
        <v>is</v>
      </c>
      <c r="K40" s="6" t="str">
        <f>IFERROR(__xludf.DUMMYFUNCTION("""COMPUTED_VALUE"""),"very")</f>
        <v>very</v>
      </c>
      <c r="L40" s="6" t="str">
        <f>IFERROR(__xludf.DUMMYFUNCTION("""COMPUTED_VALUE"""),"fast.")</f>
        <v>fast.</v>
      </c>
      <c r="M40" s="6"/>
      <c r="N40" s="6"/>
      <c r="O40" s="6"/>
      <c r="P40" s="6"/>
      <c r="Q40" s="6"/>
      <c r="R40" s="20">
        <v>3.0</v>
      </c>
      <c r="S40" s="19">
        <v>125.0</v>
      </c>
    </row>
    <row r="41" ht="25.5" customHeight="1">
      <c r="A41" s="12">
        <v>40.0</v>
      </c>
      <c r="B41" s="13" t="s">
        <v>11</v>
      </c>
      <c r="C41" s="14" t="s">
        <v>158</v>
      </c>
      <c r="D41" s="15" t="s">
        <v>171</v>
      </c>
      <c r="E41" s="16" t="s">
        <v>172</v>
      </c>
      <c r="F41" s="17" t="s">
        <v>173</v>
      </c>
      <c r="G41" s="18" t="s">
        <v>174</v>
      </c>
      <c r="H41" s="14" t="str">
        <f>IFERROR(__xludf.DUMMYFUNCTION("split(G41, "" "")"),"Is")</f>
        <v>Is</v>
      </c>
      <c r="I41" s="14" t="str">
        <f>IFERROR(__xludf.DUMMYFUNCTION("""COMPUTED_VALUE"""),"that")</f>
        <v>that</v>
      </c>
      <c r="J41" s="14" t="str">
        <f>IFERROR(__xludf.DUMMYFUNCTION("""COMPUTED_VALUE"""),"a")</f>
        <v>a</v>
      </c>
      <c r="K41" s="14" t="str">
        <f>IFERROR(__xludf.DUMMYFUNCTION("""COMPUTED_VALUE"""),"green")</f>
        <v>green</v>
      </c>
      <c r="L41" s="14" t="str">
        <f>IFERROR(__xludf.DUMMYFUNCTION("""COMPUTED_VALUE"""),"alien?")</f>
        <v>alien?</v>
      </c>
      <c r="M41" s="14"/>
      <c r="N41" s="14"/>
      <c r="O41" s="14"/>
      <c r="P41" s="14"/>
      <c r="Q41" s="14"/>
      <c r="R41" s="19">
        <v>3.0</v>
      </c>
      <c r="S41" s="19">
        <v>145.0</v>
      </c>
    </row>
    <row r="42" ht="25.5" customHeight="1">
      <c r="A42" s="4">
        <v>41.0</v>
      </c>
      <c r="B42" s="5" t="s">
        <v>11</v>
      </c>
      <c r="C42" s="6" t="s">
        <v>158</v>
      </c>
      <c r="D42" s="7" t="s">
        <v>175</v>
      </c>
      <c r="E42" s="8" t="s">
        <v>176</v>
      </c>
      <c r="F42" s="9" t="s">
        <v>177</v>
      </c>
      <c r="G42" s="21" t="s">
        <v>178</v>
      </c>
      <c r="H42" s="6" t="str">
        <f>IFERROR(__xludf.DUMMYFUNCTION("split(G42, "" "")"),"The")</f>
        <v>The</v>
      </c>
      <c r="I42" s="6" t="str">
        <f>IFERROR(__xludf.DUMMYFUNCTION("""COMPUTED_VALUE"""),"robot")</f>
        <v>robot</v>
      </c>
      <c r="J42" s="6" t="str">
        <f>IFERROR(__xludf.DUMMYFUNCTION("""COMPUTED_VALUE"""),"walks")</f>
        <v>walks</v>
      </c>
      <c r="K42" s="6" t="str">
        <f>IFERROR(__xludf.DUMMYFUNCTION("""COMPUTED_VALUE"""),"on")</f>
        <v>on</v>
      </c>
      <c r="L42" s="6" t="str">
        <f>IFERROR(__xludf.DUMMYFUNCTION("""COMPUTED_VALUE"""),"Mars.")</f>
        <v>Mars.</v>
      </c>
      <c r="M42" s="6"/>
      <c r="N42" s="6"/>
      <c r="O42" s="6"/>
      <c r="P42" s="6"/>
      <c r="Q42" s="6"/>
      <c r="R42" s="20">
        <v>4.0</v>
      </c>
      <c r="S42" s="19">
        <v>1235.0</v>
      </c>
    </row>
    <row r="43" ht="25.5" customHeight="1">
      <c r="A43" s="12">
        <v>42.0</v>
      </c>
      <c r="B43" s="13" t="s">
        <v>11</v>
      </c>
      <c r="C43" s="14" t="s">
        <v>158</v>
      </c>
      <c r="D43" s="15" t="s">
        <v>179</v>
      </c>
      <c r="E43" s="16" t="s">
        <v>180</v>
      </c>
      <c r="F43" s="17" t="s">
        <v>181</v>
      </c>
      <c r="G43" s="18" t="s">
        <v>182</v>
      </c>
      <c r="H43" s="14" t="str">
        <f>IFERROR(__xludf.DUMMYFUNCTION("split(G43, "" "")"),"The")</f>
        <v>The</v>
      </c>
      <c r="I43" s="14" t="str">
        <f>IFERROR(__xludf.DUMMYFUNCTION("""COMPUTED_VALUE"""),"satellite")</f>
        <v>satellite</v>
      </c>
      <c r="J43" s="14" t="str">
        <f>IFERROR(__xludf.DUMMYFUNCTION("""COMPUTED_VALUE"""),"flies")</f>
        <v>flies</v>
      </c>
      <c r="K43" s="14" t="str">
        <f>IFERROR(__xludf.DUMMYFUNCTION("""COMPUTED_VALUE"""),"around")</f>
        <v>around</v>
      </c>
      <c r="L43" s="14" t="str">
        <f>IFERROR(__xludf.DUMMYFUNCTION("""COMPUTED_VALUE"""),"Earth.")</f>
        <v>Earth.</v>
      </c>
      <c r="M43" s="14"/>
      <c r="N43" s="14"/>
      <c r="O43" s="14"/>
      <c r="P43" s="14"/>
      <c r="Q43" s="14"/>
      <c r="R43" s="19">
        <v>4.0</v>
      </c>
      <c r="S43" s="19">
        <v>1235.0</v>
      </c>
    </row>
    <row r="44" ht="25.5" customHeight="1">
      <c r="A44" s="4">
        <v>43.0</v>
      </c>
      <c r="B44" s="5" t="s">
        <v>11</v>
      </c>
      <c r="C44" s="6" t="s">
        <v>158</v>
      </c>
      <c r="D44" s="7" t="s">
        <v>183</v>
      </c>
      <c r="E44" s="8" t="s">
        <v>184</v>
      </c>
      <c r="F44" s="9" t="s">
        <v>185</v>
      </c>
      <c r="G44" s="21" t="s">
        <v>186</v>
      </c>
      <c r="H44" s="6" t="str">
        <f>IFERROR(__xludf.DUMMYFUNCTION("split(G44, "" "")"),"I")</f>
        <v>I</v>
      </c>
      <c r="I44" s="6" t="str">
        <f>IFERROR(__xludf.DUMMYFUNCTION("""COMPUTED_VALUE"""),"look")</f>
        <v>look</v>
      </c>
      <c r="J44" s="6" t="str">
        <f>IFERROR(__xludf.DUMMYFUNCTION("""COMPUTED_VALUE"""),"at")</f>
        <v>at</v>
      </c>
      <c r="K44" s="6" t="str">
        <f>IFERROR(__xludf.DUMMYFUNCTION("""COMPUTED_VALUE"""),"stars")</f>
        <v>stars</v>
      </c>
      <c r="L44" s="6" t="str">
        <f>IFERROR(__xludf.DUMMYFUNCTION("""COMPUTED_VALUE"""),"with")</f>
        <v>with</v>
      </c>
      <c r="M44" s="6" t="str">
        <f>IFERROR(__xludf.DUMMYFUNCTION("""COMPUTED_VALUE"""),"a")</f>
        <v>a</v>
      </c>
      <c r="N44" s="6" t="str">
        <f>IFERROR(__xludf.DUMMYFUNCTION("""COMPUTED_VALUE"""),"telescope.")</f>
        <v>telescope.</v>
      </c>
      <c r="O44" s="6"/>
      <c r="P44" s="6"/>
      <c r="Q44" s="6"/>
      <c r="R44" s="20">
        <v>4.0</v>
      </c>
      <c r="S44" s="19">
        <v>1247.0</v>
      </c>
    </row>
    <row r="45" ht="25.5" customHeight="1">
      <c r="A45" s="12">
        <v>44.0</v>
      </c>
      <c r="B45" s="13" t="s">
        <v>11</v>
      </c>
      <c r="C45" s="14" t="s">
        <v>158</v>
      </c>
      <c r="D45" s="15" t="s">
        <v>187</v>
      </c>
      <c r="E45" s="16" t="s">
        <v>188</v>
      </c>
      <c r="F45" s="17" t="s">
        <v>189</v>
      </c>
      <c r="G45" s="18" t="s">
        <v>190</v>
      </c>
      <c r="H45" s="14" t="str">
        <f>IFERROR(__xludf.DUMMYFUNCTION("split(G45, "" "")"),"He")</f>
        <v>He</v>
      </c>
      <c r="I45" s="14" t="str">
        <f>IFERROR(__xludf.DUMMYFUNCTION("""COMPUTED_VALUE"""),"saw")</f>
        <v>saw</v>
      </c>
      <c r="J45" s="14" t="str">
        <f>IFERROR(__xludf.DUMMYFUNCTION("""COMPUTED_VALUE"""),"a")</f>
        <v>a</v>
      </c>
      <c r="K45" s="14" t="str">
        <f>IFERROR(__xludf.DUMMYFUNCTION("""COMPUTED_VALUE"""),"UFO")</f>
        <v>UFO</v>
      </c>
      <c r="L45" s="14" t="str">
        <f>IFERROR(__xludf.DUMMYFUNCTION("""COMPUTED_VALUE"""),"in")</f>
        <v>in</v>
      </c>
      <c r="M45" s="14" t="str">
        <f>IFERROR(__xludf.DUMMYFUNCTION("""COMPUTED_VALUE"""),"the")</f>
        <v>the</v>
      </c>
      <c r="N45" s="14" t="str">
        <f>IFERROR(__xludf.DUMMYFUNCTION("""COMPUTED_VALUE"""),"sky.")</f>
        <v>sky.</v>
      </c>
      <c r="O45" s="14"/>
      <c r="P45" s="14"/>
      <c r="Q45" s="14"/>
      <c r="R45" s="19">
        <v>4.0</v>
      </c>
      <c r="S45" s="19">
        <v>1247.0</v>
      </c>
    </row>
    <row r="46" ht="25.5" customHeight="1">
      <c r="A46" s="4">
        <v>45.0</v>
      </c>
      <c r="B46" s="13" t="s">
        <v>11</v>
      </c>
      <c r="C46" s="14" t="s">
        <v>158</v>
      </c>
      <c r="D46" s="15" t="s">
        <v>191</v>
      </c>
      <c r="E46" s="16" t="s">
        <v>192</v>
      </c>
      <c r="F46" s="17" t="s">
        <v>193</v>
      </c>
      <c r="G46" s="18" t="s">
        <v>194</v>
      </c>
      <c r="H46" s="14" t="str">
        <f>IFERROR(__xludf.DUMMYFUNCTION("split(G46, "" "")"),"Put")</f>
        <v>Put</v>
      </c>
      <c r="I46" s="14" t="str">
        <f>IFERROR(__xludf.DUMMYFUNCTION("""COMPUTED_VALUE"""),"on")</f>
        <v>on</v>
      </c>
      <c r="J46" s="14" t="str">
        <f>IFERROR(__xludf.DUMMYFUNCTION("""COMPUTED_VALUE"""),"your")</f>
        <v>your</v>
      </c>
      <c r="K46" s="14" t="str">
        <f>IFERROR(__xludf.DUMMYFUNCTION("""COMPUTED_VALUE"""),"helmet")</f>
        <v>helmet</v>
      </c>
      <c r="L46" s="14" t="str">
        <f>IFERROR(__xludf.DUMMYFUNCTION("""COMPUTED_VALUE"""),"now.")</f>
        <v>now.</v>
      </c>
      <c r="M46" s="14"/>
      <c r="N46" s="14"/>
      <c r="O46" s="14"/>
      <c r="P46" s="14"/>
      <c r="Q46" s="14"/>
      <c r="R46" s="19">
        <v>4.0</v>
      </c>
      <c r="S46" s="19">
        <v>1245.0</v>
      </c>
    </row>
    <row r="47" ht="25.5" customHeight="1">
      <c r="A47" s="12">
        <v>46.0</v>
      </c>
      <c r="B47" s="13" t="s">
        <v>11</v>
      </c>
      <c r="C47" s="14" t="s">
        <v>158</v>
      </c>
      <c r="D47" s="15" t="s">
        <v>195</v>
      </c>
      <c r="E47" s="16" t="s">
        <v>196</v>
      </c>
      <c r="F47" s="17" t="s">
        <v>197</v>
      </c>
      <c r="G47" s="18" t="s">
        <v>198</v>
      </c>
      <c r="H47" s="14" t="str">
        <f>IFERROR(__xludf.DUMMYFUNCTION("split(G47, "" "")"),"We")</f>
        <v>We</v>
      </c>
      <c r="I47" s="14" t="str">
        <f>IFERROR(__xludf.DUMMYFUNCTION("""COMPUTED_VALUE"""),"need")</f>
        <v>need</v>
      </c>
      <c r="J47" s="14" t="str">
        <f>IFERROR(__xludf.DUMMYFUNCTION("""COMPUTED_VALUE"""),"a")</f>
        <v>a</v>
      </c>
      <c r="K47" s="14" t="str">
        <f>IFERROR(__xludf.DUMMYFUNCTION("""COMPUTED_VALUE"""),"star")</f>
        <v>star</v>
      </c>
      <c r="L47" s="14" t="str">
        <f>IFERROR(__xludf.DUMMYFUNCTION("""COMPUTED_VALUE"""),"map.")</f>
        <v>map.</v>
      </c>
      <c r="M47" s="14"/>
      <c r="N47" s="14"/>
      <c r="O47" s="14"/>
      <c r="P47" s="14"/>
      <c r="Q47" s="14"/>
      <c r="R47" s="19">
        <v>4.0</v>
      </c>
      <c r="S47" s="19">
        <v>1245.0</v>
      </c>
    </row>
    <row r="48" ht="25.5" customHeight="1">
      <c r="A48" s="4">
        <v>47.0</v>
      </c>
      <c r="B48" s="5" t="s">
        <v>11</v>
      </c>
      <c r="C48" s="6" t="s">
        <v>158</v>
      </c>
      <c r="D48" s="7" t="s">
        <v>199</v>
      </c>
      <c r="E48" s="8" t="s">
        <v>200</v>
      </c>
      <c r="F48" s="9" t="s">
        <v>201</v>
      </c>
      <c r="G48" s="21" t="s">
        <v>202</v>
      </c>
      <c r="H48" s="6" t="str">
        <f>IFERROR(__xludf.DUMMYFUNCTION("split(G48, "" "")"),"They")</f>
        <v>They</v>
      </c>
      <c r="I48" s="6" t="str">
        <f>IFERROR(__xludf.DUMMYFUNCTION("""COMPUTED_VALUE"""),"talk")</f>
        <v>talk</v>
      </c>
      <c r="J48" s="6" t="str">
        <f>IFERROR(__xludf.DUMMYFUNCTION("""COMPUTED_VALUE"""),"using")</f>
        <v>using</v>
      </c>
      <c r="K48" s="6" t="str">
        <f>IFERROR(__xludf.DUMMYFUNCTION("""COMPUTED_VALUE"""),"a")</f>
        <v>a</v>
      </c>
      <c r="L48" s="6" t="str">
        <f>IFERROR(__xludf.DUMMYFUNCTION("""COMPUTED_VALUE"""),"radio.")</f>
        <v>radio.</v>
      </c>
      <c r="M48" s="6"/>
      <c r="N48" s="6"/>
      <c r="O48" s="6"/>
      <c r="P48" s="6"/>
      <c r="Q48" s="6"/>
      <c r="R48" s="20">
        <v>4.0</v>
      </c>
      <c r="S48" s="19">
        <v>1235.0</v>
      </c>
    </row>
    <row r="49" ht="25.5" customHeight="1">
      <c r="A49" s="12">
        <v>48.0</v>
      </c>
      <c r="B49" s="13" t="s">
        <v>11</v>
      </c>
      <c r="C49" s="14" t="s">
        <v>158</v>
      </c>
      <c r="D49" s="15" t="s">
        <v>203</v>
      </c>
      <c r="E49" s="16" t="s">
        <v>204</v>
      </c>
      <c r="F49" s="17" t="s">
        <v>205</v>
      </c>
      <c r="G49" s="18" t="s">
        <v>206</v>
      </c>
      <c r="H49" s="14" t="str">
        <f>IFERROR(__xludf.DUMMYFUNCTION("split(G49, "" "")"),"Take")</f>
        <v>Take</v>
      </c>
      <c r="I49" s="14" t="str">
        <f>IFERROR(__xludf.DUMMYFUNCTION("""COMPUTED_VALUE"""),"a")</f>
        <v>a</v>
      </c>
      <c r="J49" s="14" t="str">
        <f>IFERROR(__xludf.DUMMYFUNCTION("""COMPUTED_VALUE"""),"photo")</f>
        <v>photo</v>
      </c>
      <c r="K49" s="14" t="str">
        <f>IFERROR(__xludf.DUMMYFUNCTION("""COMPUTED_VALUE"""),"with")</f>
        <v>with</v>
      </c>
      <c r="L49" s="14" t="str">
        <f>IFERROR(__xludf.DUMMYFUNCTION("""COMPUTED_VALUE"""),"the")</f>
        <v>the</v>
      </c>
      <c r="M49" s="14" t="str">
        <f>IFERROR(__xludf.DUMMYFUNCTION("""COMPUTED_VALUE"""),"camera.")</f>
        <v>camera.</v>
      </c>
      <c r="N49" s="14"/>
      <c r="O49" s="14"/>
      <c r="P49" s="14"/>
      <c r="Q49" s="14"/>
      <c r="R49" s="19">
        <v>3.0</v>
      </c>
      <c r="S49" s="19">
        <v>136.0</v>
      </c>
    </row>
    <row r="50" ht="25.5" customHeight="1">
      <c r="A50" s="4">
        <v>49.0</v>
      </c>
      <c r="B50" s="5" t="s">
        <v>11</v>
      </c>
      <c r="C50" s="6" t="s">
        <v>158</v>
      </c>
      <c r="D50" s="7" t="s">
        <v>207</v>
      </c>
      <c r="E50" s="8" t="s">
        <v>208</v>
      </c>
      <c r="F50" s="9" t="s">
        <v>209</v>
      </c>
      <c r="G50" s="21" t="s">
        <v>210</v>
      </c>
      <c r="H50" s="6" t="str">
        <f>IFERROR(__xludf.DUMMYFUNCTION("split(G50, "" "")"),"The")</f>
        <v>The</v>
      </c>
      <c r="I50" s="6" t="str">
        <f>IFERROR(__xludf.DUMMYFUNCTION("""COMPUTED_VALUE"""),"computer")</f>
        <v>computer</v>
      </c>
      <c r="J50" s="6" t="str">
        <f>IFERROR(__xludf.DUMMYFUNCTION("""COMPUTED_VALUE"""),"drives")</f>
        <v>drives</v>
      </c>
      <c r="K50" s="6" t="str">
        <f>IFERROR(__xludf.DUMMYFUNCTION("""COMPUTED_VALUE"""),"the")</f>
        <v>the</v>
      </c>
      <c r="L50" s="6" t="str">
        <f>IFERROR(__xludf.DUMMYFUNCTION("""COMPUTED_VALUE"""),"spaceship.")</f>
        <v>spaceship.</v>
      </c>
      <c r="M50" s="6"/>
      <c r="N50" s="6"/>
      <c r="O50" s="6"/>
      <c r="P50" s="6"/>
      <c r="Q50" s="6"/>
      <c r="R50" s="20">
        <v>4.0</v>
      </c>
      <c r="S50" s="19">
        <v>1235.0</v>
      </c>
    </row>
    <row r="51" ht="25.5" customHeight="1">
      <c r="A51" s="12">
        <v>50.0</v>
      </c>
      <c r="B51" s="13" t="s">
        <v>11</v>
      </c>
      <c r="C51" s="14" t="s">
        <v>158</v>
      </c>
      <c r="D51" s="15" t="s">
        <v>211</v>
      </c>
      <c r="E51" s="16" t="s">
        <v>212</v>
      </c>
      <c r="F51" s="17" t="s">
        <v>213</v>
      </c>
      <c r="G51" s="18" t="s">
        <v>214</v>
      </c>
      <c r="H51" s="14" t="str">
        <f>IFERROR(__xludf.DUMMYFUNCTION("split(G51, "" "")"),"Look")</f>
        <v>Look</v>
      </c>
      <c r="I51" s="14" t="str">
        <f>IFERROR(__xludf.DUMMYFUNCTION("""COMPUTED_VALUE"""),"out")</f>
        <v>out</v>
      </c>
      <c r="J51" s="14" t="str">
        <f>IFERROR(__xludf.DUMMYFUNCTION("""COMPUTED_VALUE"""),"of")</f>
        <v>of</v>
      </c>
      <c r="K51" s="14" t="str">
        <f>IFERROR(__xludf.DUMMYFUNCTION("""COMPUTED_VALUE"""),"the")</f>
        <v>the</v>
      </c>
      <c r="L51" s="14" t="str">
        <f>IFERROR(__xludf.DUMMYFUNCTION("""COMPUTED_VALUE"""),"spaceship")</f>
        <v>spaceship</v>
      </c>
      <c r="M51" s="14" t="str">
        <f>IFERROR(__xludf.DUMMYFUNCTION("""COMPUTED_VALUE"""),"window.")</f>
        <v>window.</v>
      </c>
      <c r="N51" s="14"/>
      <c r="O51" s="14"/>
      <c r="P51" s="14"/>
      <c r="Q51" s="14"/>
      <c r="R51" s="19">
        <v>4.0</v>
      </c>
      <c r="S51" s="19">
        <v>1256.0</v>
      </c>
    </row>
    <row r="52" ht="25.5" customHeight="1">
      <c r="A52" s="4">
        <v>51.0</v>
      </c>
      <c r="B52" s="5" t="s">
        <v>11</v>
      </c>
      <c r="C52" s="6" t="s">
        <v>158</v>
      </c>
      <c r="D52" s="7" t="s">
        <v>215</v>
      </c>
      <c r="E52" s="8" t="s">
        <v>216</v>
      </c>
      <c r="F52" s="9" t="s">
        <v>217</v>
      </c>
      <c r="G52" s="21" t="s">
        <v>218</v>
      </c>
      <c r="H52" s="6" t="str">
        <f>IFERROR(__xludf.DUMMYFUNCTION("split(G52, "" "")"),"Close")</f>
        <v>Close</v>
      </c>
      <c r="I52" s="6" t="str">
        <f>IFERROR(__xludf.DUMMYFUNCTION("""COMPUTED_VALUE"""),"the")</f>
        <v>the</v>
      </c>
      <c r="J52" s="6" t="str">
        <f>IFERROR(__xludf.DUMMYFUNCTION("""COMPUTED_VALUE"""),"rocket")</f>
        <v>rocket</v>
      </c>
      <c r="K52" s="6" t="str">
        <f>IFERROR(__xludf.DUMMYFUNCTION("""COMPUTED_VALUE"""),"door.")</f>
        <v>door.</v>
      </c>
      <c r="L52" s="6"/>
      <c r="M52" s="6"/>
      <c r="N52" s="6"/>
      <c r="O52" s="6"/>
      <c r="P52" s="6"/>
      <c r="Q52" s="6"/>
      <c r="R52" s="20">
        <v>3.0</v>
      </c>
      <c r="S52" s="19">
        <v>134.0</v>
      </c>
    </row>
    <row r="53" ht="25.5" customHeight="1">
      <c r="A53" s="12">
        <v>52.0</v>
      </c>
      <c r="B53" s="13" t="s">
        <v>11</v>
      </c>
      <c r="C53" s="14" t="s">
        <v>158</v>
      </c>
      <c r="D53" s="15" t="s">
        <v>219</v>
      </c>
      <c r="E53" s="16" t="s">
        <v>220</v>
      </c>
      <c r="F53" s="17" t="s">
        <v>221</v>
      </c>
      <c r="G53" s="10" t="s">
        <v>222</v>
      </c>
      <c r="H53" s="14" t="str">
        <f>IFERROR(__xludf.DUMMYFUNCTION("split(G53, "" "")"),"Astronauts")</f>
        <v>Astronauts</v>
      </c>
      <c r="I53" s="14" t="str">
        <f>IFERROR(__xludf.DUMMYFUNCTION("""COMPUTED_VALUE"""),"wear")</f>
        <v>wear</v>
      </c>
      <c r="J53" s="14" t="str">
        <f>IFERROR(__xludf.DUMMYFUNCTION("""COMPUTED_VALUE"""),"big")</f>
        <v>big</v>
      </c>
      <c r="K53" s="14" t="str">
        <f>IFERROR(__xludf.DUMMYFUNCTION("""COMPUTED_VALUE"""),"boots.")</f>
        <v>boots.</v>
      </c>
      <c r="L53" s="14"/>
      <c r="M53" s="14"/>
      <c r="N53" s="14"/>
      <c r="O53" s="14"/>
      <c r="P53" s="14"/>
      <c r="Q53" s="14"/>
      <c r="R53" s="19">
        <v>4.0</v>
      </c>
      <c r="S53" s="19">
        <v>1234.0</v>
      </c>
    </row>
    <row r="54" ht="25.5" customHeight="1">
      <c r="A54" s="4">
        <v>53.0</v>
      </c>
      <c r="B54" s="5" t="s">
        <v>11</v>
      </c>
      <c r="C54" s="6" t="s">
        <v>158</v>
      </c>
      <c r="D54" s="7" t="s">
        <v>223</v>
      </c>
      <c r="E54" s="8" t="s">
        <v>224</v>
      </c>
      <c r="F54" s="9" t="s">
        <v>225</v>
      </c>
      <c r="G54" s="21" t="s">
        <v>226</v>
      </c>
      <c r="H54" s="6" t="str">
        <f>IFERROR(__xludf.DUMMYFUNCTION("split(G54, "" "")"),"The")</f>
        <v>The</v>
      </c>
      <c r="I54" s="6" t="str">
        <f>IFERROR(__xludf.DUMMYFUNCTION("""COMPUTED_VALUE"""),"space")</f>
        <v>space</v>
      </c>
      <c r="J54" s="6" t="str">
        <f>IFERROR(__xludf.DUMMYFUNCTION("""COMPUTED_VALUE"""),"team")</f>
        <v>team</v>
      </c>
      <c r="K54" s="6" t="str">
        <f>IFERROR(__xludf.DUMMYFUNCTION("""COMPUTED_VALUE"""),"works")</f>
        <v>works</v>
      </c>
      <c r="L54" s="6" t="str">
        <f>IFERROR(__xludf.DUMMYFUNCTION("""COMPUTED_VALUE"""),"hard.")</f>
        <v>hard.</v>
      </c>
      <c r="M54" s="6"/>
      <c r="N54" s="6"/>
      <c r="O54" s="6"/>
      <c r="P54" s="6"/>
      <c r="Q54" s="6"/>
      <c r="R54" s="20">
        <v>5.0</v>
      </c>
      <c r="S54" s="19">
        <v>12345.0</v>
      </c>
    </row>
    <row r="55" ht="25.5" customHeight="1">
      <c r="A55" s="12">
        <v>54.0</v>
      </c>
      <c r="B55" s="13" t="s">
        <v>11</v>
      </c>
      <c r="C55" s="14" t="s">
        <v>158</v>
      </c>
      <c r="D55" s="15" t="s">
        <v>227</v>
      </c>
      <c r="E55" s="16" t="s">
        <v>228</v>
      </c>
      <c r="F55" s="17" t="s">
        <v>229</v>
      </c>
      <c r="G55" s="18" t="s">
        <v>230</v>
      </c>
      <c r="H55" s="14" t="str">
        <f>IFERROR(__xludf.DUMMYFUNCTION("split(G55, "" "")"),"The")</f>
        <v>The</v>
      </c>
      <c r="I55" s="14" t="str">
        <f>IFERROR(__xludf.DUMMYFUNCTION("""COMPUTED_VALUE"""),"pilot")</f>
        <v>pilot</v>
      </c>
      <c r="J55" s="14" t="str">
        <f>IFERROR(__xludf.DUMMYFUNCTION("""COMPUTED_VALUE"""),"flies")</f>
        <v>flies</v>
      </c>
      <c r="K55" s="14" t="str">
        <f>IFERROR(__xludf.DUMMYFUNCTION("""COMPUTED_VALUE"""),"the")</f>
        <v>the</v>
      </c>
      <c r="L55" s="14" t="str">
        <f>IFERROR(__xludf.DUMMYFUNCTION("""COMPUTED_VALUE"""),"ship.")</f>
        <v>ship.</v>
      </c>
      <c r="M55" s="14"/>
      <c r="N55" s="14"/>
      <c r="O55" s="14"/>
      <c r="P55" s="14"/>
      <c r="Q55" s="14"/>
      <c r="R55" s="19">
        <v>4.0</v>
      </c>
      <c r="S55" s="19">
        <v>1235.0</v>
      </c>
    </row>
    <row r="56" ht="25.5" customHeight="1">
      <c r="A56" s="4">
        <v>55.0</v>
      </c>
      <c r="B56" s="5" t="s">
        <v>11</v>
      </c>
      <c r="C56" s="6" t="s">
        <v>158</v>
      </c>
      <c r="D56" s="7" t="s">
        <v>231</v>
      </c>
      <c r="E56" s="8" t="s">
        <v>232</v>
      </c>
      <c r="F56" s="9" t="s">
        <v>233</v>
      </c>
      <c r="G56" s="10" t="s">
        <v>234</v>
      </c>
      <c r="H56" s="6" t="str">
        <f>IFERROR(__xludf.DUMMYFUNCTION("split(G56, "" "")"),"The")</f>
        <v>The</v>
      </c>
      <c r="I56" s="6" t="str">
        <f>IFERROR(__xludf.DUMMYFUNCTION("""COMPUTED_VALUE"""),"space")</f>
        <v>space</v>
      </c>
      <c r="J56" s="6" t="str">
        <f>IFERROR(__xludf.DUMMYFUNCTION("""COMPUTED_VALUE"""),"ship")</f>
        <v>ship</v>
      </c>
      <c r="K56" s="6" t="str">
        <f>IFERROR(__xludf.DUMMYFUNCTION("""COMPUTED_VALUE"""),"is")</f>
        <v>is</v>
      </c>
      <c r="L56" s="6" t="str">
        <f>IFERROR(__xludf.DUMMYFUNCTION("""COMPUTED_VALUE"""),"ready.")</f>
        <v>ready.</v>
      </c>
      <c r="M56" s="6"/>
      <c r="N56" s="6"/>
      <c r="O56" s="6"/>
      <c r="P56" s="6"/>
      <c r="Q56" s="6"/>
      <c r="R56" s="20">
        <v>4.0</v>
      </c>
      <c r="S56" s="19">
        <v>1235.0</v>
      </c>
    </row>
    <row r="57" ht="25.5" customHeight="1">
      <c r="A57" s="12">
        <v>56.0</v>
      </c>
      <c r="B57" s="13" t="s">
        <v>11</v>
      </c>
      <c r="C57" s="14" t="s">
        <v>158</v>
      </c>
      <c r="D57" s="15" t="s">
        <v>235</v>
      </c>
      <c r="E57" s="16" t="s">
        <v>236</v>
      </c>
      <c r="F57" s="17" t="s">
        <v>237</v>
      </c>
      <c r="G57" s="18" t="s">
        <v>238</v>
      </c>
      <c r="H57" s="14" t="str">
        <f>IFERROR(__xludf.DUMMYFUNCTION("split(G57, "" "")"),"They")</f>
        <v>They</v>
      </c>
      <c r="I57" s="14" t="str">
        <f>IFERROR(__xludf.DUMMYFUNCTION("""COMPUTED_VALUE"""),"live")</f>
        <v>live</v>
      </c>
      <c r="J57" s="14" t="str">
        <f>IFERROR(__xludf.DUMMYFUNCTION("""COMPUTED_VALUE"""),"in")</f>
        <v>in</v>
      </c>
      <c r="K57" s="14" t="str">
        <f>IFERROR(__xludf.DUMMYFUNCTION("""COMPUTED_VALUE"""),"a")</f>
        <v>a</v>
      </c>
      <c r="L57" s="14" t="str">
        <f>IFERROR(__xludf.DUMMYFUNCTION("""COMPUTED_VALUE"""),"space")</f>
        <v>space</v>
      </c>
      <c r="M57" s="14" t="str">
        <f>IFERROR(__xludf.DUMMYFUNCTION("""COMPUTED_VALUE"""),"station.")</f>
        <v>station.</v>
      </c>
      <c r="N57" s="14"/>
      <c r="O57" s="14"/>
      <c r="P57" s="14"/>
      <c r="Q57" s="14"/>
      <c r="R57" s="19">
        <v>4.0</v>
      </c>
      <c r="S57" s="19">
        <v>1256.0</v>
      </c>
    </row>
    <row r="58" ht="25.5" customHeight="1">
      <c r="A58" s="4">
        <v>57.0</v>
      </c>
      <c r="B58" s="5" t="s">
        <v>11</v>
      </c>
      <c r="C58" s="6" t="s">
        <v>158</v>
      </c>
      <c r="D58" s="7" t="s">
        <v>239</v>
      </c>
      <c r="E58" s="8" t="s">
        <v>240</v>
      </c>
      <c r="F58" s="9" t="s">
        <v>241</v>
      </c>
      <c r="G58" s="21" t="s">
        <v>242</v>
      </c>
      <c r="H58" s="6" t="str">
        <f>IFERROR(__xludf.DUMMYFUNCTION("split(G58, "" "")"),"Look")</f>
        <v>Look</v>
      </c>
      <c r="I58" s="6" t="str">
        <f>IFERROR(__xludf.DUMMYFUNCTION("""COMPUTED_VALUE"""),"at")</f>
        <v>at</v>
      </c>
      <c r="J58" s="6" t="str">
        <f>IFERROR(__xludf.DUMMYFUNCTION("""COMPUTED_VALUE"""),"the")</f>
        <v>the</v>
      </c>
      <c r="K58" s="6" t="str">
        <f>IFERROR(__xludf.DUMMYFUNCTION("""COMPUTED_VALUE"""),"computer")</f>
        <v>computer</v>
      </c>
      <c r="L58" s="6" t="str">
        <f>IFERROR(__xludf.DUMMYFUNCTION("""COMPUTED_VALUE"""),"screen.")</f>
        <v>screen.</v>
      </c>
      <c r="M58" s="6"/>
      <c r="N58" s="6"/>
      <c r="O58" s="6"/>
      <c r="P58" s="6"/>
      <c r="Q58" s="6"/>
      <c r="R58" s="20">
        <v>3.0</v>
      </c>
      <c r="S58" s="19">
        <v>145.0</v>
      </c>
    </row>
    <row r="59" ht="25.5" customHeight="1">
      <c r="A59" s="12">
        <v>58.0</v>
      </c>
      <c r="B59" s="5" t="s">
        <v>11</v>
      </c>
      <c r="C59" s="6" t="s">
        <v>158</v>
      </c>
      <c r="D59" s="7" t="s">
        <v>243</v>
      </c>
      <c r="E59" s="8" t="s">
        <v>244</v>
      </c>
      <c r="F59" s="9" t="s">
        <v>245</v>
      </c>
      <c r="G59" s="21" t="s">
        <v>246</v>
      </c>
      <c r="H59" s="6" t="str">
        <f>IFERROR(__xludf.DUMMYFUNCTION("split(G59, "" "")"),"This")</f>
        <v>This</v>
      </c>
      <c r="I59" s="6" t="str">
        <f>IFERROR(__xludf.DUMMYFUNCTION("""COMPUTED_VALUE"""),"is")</f>
        <v>is</v>
      </c>
      <c r="J59" s="6" t="str">
        <f>IFERROR(__xludf.DUMMYFUNCTION("""COMPUTED_VALUE"""),"a")</f>
        <v>a</v>
      </c>
      <c r="K59" s="6" t="str">
        <f>IFERROR(__xludf.DUMMYFUNCTION("""COMPUTED_VALUE"""),"picture")</f>
        <v>picture</v>
      </c>
      <c r="L59" s="6" t="str">
        <f>IFERROR(__xludf.DUMMYFUNCTION("""COMPUTED_VALUE"""),"of")</f>
        <v>of</v>
      </c>
      <c r="M59" s="6" t="str">
        <f>IFERROR(__xludf.DUMMYFUNCTION("""COMPUTED_VALUE"""),"Earth.")</f>
        <v>Earth.</v>
      </c>
      <c r="N59" s="6"/>
      <c r="O59" s="6"/>
      <c r="P59" s="6"/>
      <c r="Q59" s="6"/>
      <c r="R59" s="20">
        <v>3.0</v>
      </c>
      <c r="S59" s="20">
        <v>146.0</v>
      </c>
    </row>
    <row r="60" ht="25.5" customHeight="1">
      <c r="A60" s="4">
        <v>59.0</v>
      </c>
      <c r="B60" s="13" t="s">
        <v>11</v>
      </c>
      <c r="C60" s="14" t="s">
        <v>247</v>
      </c>
      <c r="D60" s="15" t="s">
        <v>248</v>
      </c>
      <c r="E60" s="16" t="s">
        <v>249</v>
      </c>
      <c r="F60" s="17" t="s">
        <v>250</v>
      </c>
      <c r="G60" s="10" t="s">
        <v>251</v>
      </c>
      <c r="H60" s="14" t="str">
        <f>IFERROR(__xludf.DUMMYFUNCTION("split(G60, "" "")"),"The")</f>
        <v>The</v>
      </c>
      <c r="I60" s="14" t="str">
        <f>IFERROR(__xludf.DUMMYFUNCTION("""COMPUTED_VALUE"""),"sun")</f>
        <v>sun</v>
      </c>
      <c r="J60" s="14" t="str">
        <f>IFERROR(__xludf.DUMMYFUNCTION("""COMPUTED_VALUE"""),"is")</f>
        <v>is</v>
      </c>
      <c r="K60" s="14" t="str">
        <f>IFERROR(__xludf.DUMMYFUNCTION("""COMPUTED_VALUE"""),"very")</f>
        <v>very</v>
      </c>
      <c r="L60" s="14" t="str">
        <f>IFERROR(__xludf.DUMMYFUNCTION("""COMPUTED_VALUE"""),"big.")</f>
        <v>big.</v>
      </c>
      <c r="M60" s="14"/>
      <c r="N60" s="14"/>
      <c r="O60" s="14"/>
      <c r="P60" s="14"/>
      <c r="Q60" s="14"/>
      <c r="R60" s="19">
        <v>3.0</v>
      </c>
      <c r="S60" s="20">
        <v>125.0</v>
      </c>
    </row>
    <row r="61" ht="25.5" customHeight="1">
      <c r="A61" s="12">
        <v>60.0</v>
      </c>
      <c r="B61" s="23" t="s">
        <v>11</v>
      </c>
      <c r="C61" s="24" t="s">
        <v>247</v>
      </c>
      <c r="D61" s="25" t="s">
        <v>252</v>
      </c>
      <c r="E61" s="26" t="s">
        <v>253</v>
      </c>
      <c r="F61" s="27" t="s">
        <v>254</v>
      </c>
      <c r="G61" s="10" t="s">
        <v>255</v>
      </c>
      <c r="H61" s="24" t="str">
        <f>IFERROR(__xludf.DUMMYFUNCTION("split(G61, "" "")"),"Stars")</f>
        <v>Stars</v>
      </c>
      <c r="I61" s="24" t="str">
        <f>IFERROR(__xludf.DUMMYFUNCTION("""COMPUTED_VALUE"""),"look")</f>
        <v>look</v>
      </c>
      <c r="J61" s="24" t="str">
        <f>IFERROR(__xludf.DUMMYFUNCTION("""COMPUTED_VALUE"""),"small")</f>
        <v>small</v>
      </c>
      <c r="K61" s="24" t="str">
        <f>IFERROR(__xludf.DUMMYFUNCTION("""COMPUTED_VALUE"""),"from")</f>
        <v>from</v>
      </c>
      <c r="L61" s="24" t="str">
        <f>IFERROR(__xludf.DUMMYFUNCTION("""COMPUTED_VALUE"""),"Earth.")</f>
        <v>Earth.</v>
      </c>
      <c r="M61" s="24"/>
      <c r="N61" s="24"/>
      <c r="O61" s="24"/>
      <c r="P61" s="24"/>
      <c r="Q61" s="24"/>
      <c r="R61" s="20">
        <v>4.0</v>
      </c>
      <c r="S61" s="20">
        <v>1235.0</v>
      </c>
      <c r="T61" s="22"/>
      <c r="U61" s="22"/>
      <c r="V61" s="22"/>
      <c r="W61" s="22"/>
      <c r="X61" s="22"/>
      <c r="Y61" s="22"/>
      <c r="Z61" s="22"/>
    </row>
    <row r="62" ht="25.5" customHeight="1">
      <c r="A62" s="4">
        <v>61.0</v>
      </c>
      <c r="B62" s="13" t="s">
        <v>11</v>
      </c>
      <c r="C62" s="14" t="s">
        <v>247</v>
      </c>
      <c r="D62" s="15" t="s">
        <v>256</v>
      </c>
      <c r="E62" s="16" t="s">
        <v>257</v>
      </c>
      <c r="F62" s="17" t="s">
        <v>258</v>
      </c>
      <c r="G62" s="10" t="s">
        <v>259</v>
      </c>
      <c r="H62" s="14" t="str">
        <f>IFERROR(__xludf.DUMMYFUNCTION("split(G62, "" "")"),"The")</f>
        <v>The</v>
      </c>
      <c r="I62" s="14" t="str">
        <f>IFERROR(__xludf.DUMMYFUNCTION("""COMPUTED_VALUE"""),"sun")</f>
        <v>sun</v>
      </c>
      <c r="J62" s="14" t="str">
        <f>IFERROR(__xludf.DUMMYFUNCTION("""COMPUTED_VALUE"""),"is")</f>
        <v>is</v>
      </c>
      <c r="K62" s="14" t="str">
        <f>IFERROR(__xludf.DUMMYFUNCTION("""COMPUTED_VALUE"""),"too")</f>
        <v>too</v>
      </c>
      <c r="L62" s="14" t="str">
        <f>IFERROR(__xludf.DUMMYFUNCTION("""COMPUTED_VALUE"""),"hot.")</f>
        <v>hot.</v>
      </c>
      <c r="M62" s="14"/>
      <c r="N62" s="14"/>
      <c r="O62" s="14"/>
      <c r="P62" s="14"/>
      <c r="Q62" s="14"/>
      <c r="R62" s="19">
        <v>3.0</v>
      </c>
      <c r="S62" s="20">
        <v>125.0</v>
      </c>
    </row>
    <row r="63" ht="25.5" customHeight="1">
      <c r="A63" s="12">
        <v>62.0</v>
      </c>
      <c r="B63" s="5" t="s">
        <v>11</v>
      </c>
      <c r="C63" s="6" t="s">
        <v>247</v>
      </c>
      <c r="D63" s="7" t="s">
        <v>260</v>
      </c>
      <c r="E63" s="8" t="s">
        <v>261</v>
      </c>
      <c r="F63" s="9" t="s">
        <v>262</v>
      </c>
      <c r="G63" s="10" t="s">
        <v>263</v>
      </c>
      <c r="H63" s="6" t="str">
        <f>IFERROR(__xludf.DUMMYFUNCTION("split(G63, "" "")"),"Space")</f>
        <v>Space</v>
      </c>
      <c r="I63" s="6" t="str">
        <f>IFERROR(__xludf.DUMMYFUNCTION("""COMPUTED_VALUE"""),"is")</f>
        <v>is</v>
      </c>
      <c r="J63" s="6" t="str">
        <f>IFERROR(__xludf.DUMMYFUNCTION("""COMPUTED_VALUE"""),"very")</f>
        <v>very</v>
      </c>
      <c r="K63" s="6" t="str">
        <f>IFERROR(__xludf.DUMMYFUNCTION("""COMPUTED_VALUE"""),"cold.")</f>
        <v>cold.</v>
      </c>
      <c r="L63" s="6"/>
      <c r="M63" s="6"/>
      <c r="N63" s="6"/>
      <c r="O63" s="6"/>
      <c r="P63" s="6"/>
      <c r="Q63" s="6"/>
      <c r="R63" s="20">
        <v>2.0</v>
      </c>
      <c r="S63" s="20">
        <v>14.0</v>
      </c>
    </row>
    <row r="64" ht="25.5" customHeight="1">
      <c r="A64" s="4">
        <v>63.0</v>
      </c>
      <c r="B64" s="13" t="s">
        <v>11</v>
      </c>
      <c r="C64" s="14" t="s">
        <v>247</v>
      </c>
      <c r="D64" s="15" t="s">
        <v>264</v>
      </c>
      <c r="E64" s="16" t="s">
        <v>265</v>
      </c>
      <c r="F64" s="17" t="s">
        <v>266</v>
      </c>
      <c r="G64" s="10" t="s">
        <v>267</v>
      </c>
      <c r="H64" s="14" t="str">
        <f>IFERROR(__xludf.DUMMYFUNCTION("split(G64, "" "")"),"The")</f>
        <v>The</v>
      </c>
      <c r="I64" s="14" t="str">
        <f>IFERROR(__xludf.DUMMYFUNCTION("""COMPUTED_VALUE"""),"moon")</f>
        <v>moon</v>
      </c>
      <c r="J64" s="14" t="str">
        <f>IFERROR(__xludf.DUMMYFUNCTION("""COMPUTED_VALUE"""),"is")</f>
        <v>is</v>
      </c>
      <c r="K64" s="14" t="str">
        <f>IFERROR(__xludf.DUMMYFUNCTION("""COMPUTED_VALUE"""),"far")</f>
        <v>far</v>
      </c>
      <c r="L64" s="14" t="str">
        <f>IFERROR(__xludf.DUMMYFUNCTION("""COMPUTED_VALUE"""),"away.")</f>
        <v>away.</v>
      </c>
      <c r="M64" s="14"/>
      <c r="N64" s="14"/>
      <c r="O64" s="14"/>
      <c r="P64" s="14"/>
      <c r="Q64" s="14"/>
      <c r="R64" s="19">
        <v>4.0</v>
      </c>
      <c r="S64" s="20">
        <v>1245.0</v>
      </c>
    </row>
    <row r="65" ht="25.5" customHeight="1">
      <c r="A65" s="12">
        <v>64.0</v>
      </c>
      <c r="B65" s="5" t="s">
        <v>11</v>
      </c>
      <c r="C65" s="6" t="s">
        <v>247</v>
      </c>
      <c r="D65" s="7" t="s">
        <v>268</v>
      </c>
      <c r="E65" s="8" t="s">
        <v>269</v>
      </c>
      <c r="F65" s="9" t="s">
        <v>270</v>
      </c>
      <c r="G65" s="21" t="s">
        <v>271</v>
      </c>
      <c r="H65" s="6" t="str">
        <f>IFERROR(__xludf.DUMMYFUNCTION("split(G65, "" "")"),"The")</f>
        <v>The</v>
      </c>
      <c r="I65" s="6" t="str">
        <f>IFERROR(__xludf.DUMMYFUNCTION("""COMPUTED_VALUE"""),"satellite")</f>
        <v>satellite</v>
      </c>
      <c r="J65" s="6" t="str">
        <f>IFERROR(__xludf.DUMMYFUNCTION("""COMPUTED_VALUE"""),"is")</f>
        <v>is</v>
      </c>
      <c r="K65" s="6" t="str">
        <f>IFERROR(__xludf.DUMMYFUNCTION("""COMPUTED_VALUE"""),"near")</f>
        <v>near</v>
      </c>
      <c r="L65" s="6" t="str">
        <f>IFERROR(__xludf.DUMMYFUNCTION("""COMPUTED_VALUE"""),"Earth.")</f>
        <v>Earth.</v>
      </c>
      <c r="M65" s="6"/>
      <c r="N65" s="6"/>
      <c r="O65" s="6"/>
      <c r="P65" s="6"/>
      <c r="Q65" s="6"/>
      <c r="R65" s="20">
        <v>4.0</v>
      </c>
      <c r="S65" s="20">
        <v>1245.0</v>
      </c>
    </row>
    <row r="66" ht="25.5" customHeight="1">
      <c r="A66" s="4">
        <v>65.0</v>
      </c>
      <c r="B66" s="13" t="s">
        <v>11</v>
      </c>
      <c r="C66" s="14" t="s">
        <v>247</v>
      </c>
      <c r="D66" s="15" t="s">
        <v>272</v>
      </c>
      <c r="E66" s="16" t="s">
        <v>273</v>
      </c>
      <c r="F66" s="17" t="s">
        <v>274</v>
      </c>
      <c r="G66" s="10" t="s">
        <v>275</v>
      </c>
      <c r="H66" s="14" t="str">
        <f>IFERROR(__xludf.DUMMYFUNCTION("split(G66, "" "")"),"The")</f>
        <v>The</v>
      </c>
      <c r="I66" s="14" t="str">
        <f>IFERROR(__xludf.DUMMYFUNCTION("""COMPUTED_VALUE"""),"rocket")</f>
        <v>rocket</v>
      </c>
      <c r="J66" s="14" t="str">
        <f>IFERROR(__xludf.DUMMYFUNCTION("""COMPUTED_VALUE"""),"is")</f>
        <v>is</v>
      </c>
      <c r="K66" s="14" t="str">
        <f>IFERROR(__xludf.DUMMYFUNCTION("""COMPUTED_VALUE"""),"very")</f>
        <v>very</v>
      </c>
      <c r="L66" s="14" t="str">
        <f>IFERROR(__xludf.DUMMYFUNCTION("""COMPUTED_VALUE"""),"high.")</f>
        <v>high.</v>
      </c>
      <c r="M66" s="14"/>
      <c r="N66" s="14"/>
      <c r="O66" s="14"/>
      <c r="P66" s="14"/>
      <c r="Q66" s="14"/>
      <c r="R66" s="19">
        <v>3.0</v>
      </c>
      <c r="S66" s="20">
        <v>125.0</v>
      </c>
    </row>
    <row r="67" ht="25.5" customHeight="1">
      <c r="A67" s="12">
        <v>66.0</v>
      </c>
      <c r="B67" s="5" t="s">
        <v>11</v>
      </c>
      <c r="C67" s="6" t="s">
        <v>247</v>
      </c>
      <c r="D67" s="7" t="s">
        <v>276</v>
      </c>
      <c r="E67" s="8" t="s">
        <v>277</v>
      </c>
      <c r="F67" s="9" t="s">
        <v>278</v>
      </c>
      <c r="G67" s="21" t="s">
        <v>279</v>
      </c>
      <c r="H67" s="6" t="str">
        <f>IFERROR(__xludf.DUMMYFUNCTION("split(G67, "" "")"),"Rockets")</f>
        <v>Rockets</v>
      </c>
      <c r="I67" s="6" t="str">
        <f>IFERROR(__xludf.DUMMYFUNCTION("""COMPUTED_VALUE"""),"are")</f>
        <v>are</v>
      </c>
      <c r="J67" s="6" t="str">
        <f>IFERROR(__xludf.DUMMYFUNCTION("""COMPUTED_VALUE"""),"very")</f>
        <v>very</v>
      </c>
      <c r="K67" s="6" t="str">
        <f>IFERROR(__xludf.DUMMYFUNCTION("""COMPUTED_VALUE"""),"fast.")</f>
        <v>fast.</v>
      </c>
      <c r="L67" s="6"/>
      <c r="M67" s="6"/>
      <c r="N67" s="6"/>
      <c r="O67" s="6"/>
      <c r="P67" s="6"/>
      <c r="Q67" s="6"/>
      <c r="R67" s="20">
        <v>2.0</v>
      </c>
      <c r="S67" s="20">
        <v>14.0</v>
      </c>
    </row>
    <row r="68" ht="25.5" customHeight="1">
      <c r="A68" s="4">
        <v>67.0</v>
      </c>
      <c r="B68" s="13" t="s">
        <v>11</v>
      </c>
      <c r="C68" s="14" t="s">
        <v>247</v>
      </c>
      <c r="D68" s="15" t="s">
        <v>280</v>
      </c>
      <c r="E68" s="16" t="s">
        <v>281</v>
      </c>
      <c r="F68" s="17" t="s">
        <v>282</v>
      </c>
      <c r="G68" s="18" t="s">
        <v>283</v>
      </c>
      <c r="H68" s="14" t="str">
        <f>IFERROR(__xludf.DUMMYFUNCTION("split(G68, "" "")"),"The")</f>
        <v>The</v>
      </c>
      <c r="I68" s="14" t="str">
        <f>IFERROR(__xludf.DUMMYFUNCTION("""COMPUTED_VALUE"""),"rover")</f>
        <v>rover</v>
      </c>
      <c r="J68" s="14" t="str">
        <f>IFERROR(__xludf.DUMMYFUNCTION("""COMPUTED_VALUE"""),"is")</f>
        <v>is</v>
      </c>
      <c r="K68" s="14" t="str">
        <f>IFERROR(__xludf.DUMMYFUNCTION("""COMPUTED_VALUE"""),"very")</f>
        <v>very</v>
      </c>
      <c r="L68" s="14" t="str">
        <f>IFERROR(__xludf.DUMMYFUNCTION("""COMPUTED_VALUE"""),"slow.")</f>
        <v>slow.</v>
      </c>
      <c r="M68" s="14"/>
      <c r="N68" s="14"/>
      <c r="O68" s="14"/>
      <c r="P68" s="14"/>
      <c r="Q68" s="14"/>
      <c r="R68" s="19">
        <v>3.0</v>
      </c>
      <c r="S68" s="20">
        <v>125.0</v>
      </c>
    </row>
    <row r="69" ht="25.5" customHeight="1">
      <c r="A69" s="12">
        <v>68.0</v>
      </c>
      <c r="B69" s="13" t="s">
        <v>11</v>
      </c>
      <c r="C69" s="14" t="s">
        <v>247</v>
      </c>
      <c r="D69" s="15" t="s">
        <v>284</v>
      </c>
      <c r="E69" s="16" t="s">
        <v>285</v>
      </c>
      <c r="F69" s="17" t="s">
        <v>286</v>
      </c>
      <c r="G69" s="10" t="s">
        <v>287</v>
      </c>
      <c r="H69" s="14" t="str">
        <f>IFERROR(__xludf.DUMMYFUNCTION("split(G69, "" "")"),"The")</f>
        <v>The</v>
      </c>
      <c r="I69" s="14" t="str">
        <f>IFERROR(__xludf.DUMMYFUNCTION("""COMPUTED_VALUE"""),"moon")</f>
        <v>moon</v>
      </c>
      <c r="J69" s="14" t="str">
        <f>IFERROR(__xludf.DUMMYFUNCTION("""COMPUTED_VALUE"""),"is")</f>
        <v>is</v>
      </c>
      <c r="K69" s="14" t="str">
        <f>IFERROR(__xludf.DUMMYFUNCTION("""COMPUTED_VALUE"""),"beautiful.")</f>
        <v>beautiful.</v>
      </c>
      <c r="L69" s="14"/>
      <c r="M69" s="14"/>
      <c r="N69" s="14"/>
      <c r="O69" s="14"/>
      <c r="P69" s="14"/>
      <c r="Q69" s="14"/>
      <c r="R69" s="19">
        <v>3.0</v>
      </c>
      <c r="S69" s="19">
        <v>124.0</v>
      </c>
    </row>
    <row r="70" ht="25.5" customHeight="1">
      <c r="A70" s="4">
        <v>69.0</v>
      </c>
      <c r="B70" s="5" t="s">
        <v>11</v>
      </c>
      <c r="C70" s="6" t="s">
        <v>247</v>
      </c>
      <c r="D70" s="7" t="s">
        <v>288</v>
      </c>
      <c r="E70" s="8" t="s">
        <v>289</v>
      </c>
      <c r="F70" s="9" t="s">
        <v>290</v>
      </c>
      <c r="G70" s="21" t="s">
        <v>291</v>
      </c>
      <c r="H70" s="6" t="str">
        <f>IFERROR(__xludf.DUMMYFUNCTION("split(G70, "" "")"),"They")</f>
        <v>They</v>
      </c>
      <c r="I70" s="6" t="str">
        <f>IFERROR(__xludf.DUMMYFUNCTION("""COMPUTED_VALUE"""),"built")</f>
        <v>built</v>
      </c>
      <c r="J70" s="6" t="str">
        <f>IFERROR(__xludf.DUMMYFUNCTION("""COMPUTED_VALUE"""),"a")</f>
        <v>a</v>
      </c>
      <c r="K70" s="6" t="str">
        <f>IFERROR(__xludf.DUMMYFUNCTION("""COMPUTED_VALUE"""),"new")</f>
        <v>new</v>
      </c>
      <c r="L70" s="6" t="str">
        <f>IFERROR(__xludf.DUMMYFUNCTION("""COMPUTED_VALUE"""),"rocket.")</f>
        <v>rocket.</v>
      </c>
      <c r="M70" s="6"/>
      <c r="N70" s="6"/>
      <c r="O70" s="6"/>
      <c r="P70" s="6"/>
      <c r="Q70" s="6"/>
      <c r="R70" s="20">
        <v>4.0</v>
      </c>
      <c r="S70" s="19">
        <v>1245.0</v>
      </c>
    </row>
    <row r="71" ht="25.5" customHeight="1">
      <c r="A71" s="12">
        <v>70.0</v>
      </c>
      <c r="B71" s="13" t="s">
        <v>11</v>
      </c>
      <c r="C71" s="14" t="s">
        <v>247</v>
      </c>
      <c r="D71" s="15" t="s">
        <v>292</v>
      </c>
      <c r="E71" s="16" t="s">
        <v>293</v>
      </c>
      <c r="F71" s="17" t="s">
        <v>294</v>
      </c>
      <c r="G71" s="18" t="s">
        <v>295</v>
      </c>
      <c r="H71" s="14" t="str">
        <f>IFERROR(__xludf.DUMMYFUNCTION("split(G71, "" "")"),"The")</f>
        <v>The</v>
      </c>
      <c r="I71" s="14" t="str">
        <f>IFERROR(__xludf.DUMMYFUNCTION("""COMPUTED_VALUE"""),"telescope")</f>
        <v>telescope</v>
      </c>
      <c r="J71" s="14" t="str">
        <f>IFERROR(__xludf.DUMMYFUNCTION("""COMPUTED_VALUE"""),"is")</f>
        <v>is</v>
      </c>
      <c r="K71" s="14" t="str">
        <f>IFERROR(__xludf.DUMMYFUNCTION("""COMPUTED_VALUE"""),"old.")</f>
        <v>old.</v>
      </c>
      <c r="L71" s="14"/>
      <c r="M71" s="14"/>
      <c r="N71" s="14"/>
      <c r="O71" s="14"/>
      <c r="P71" s="14"/>
      <c r="Q71" s="14"/>
      <c r="R71" s="19">
        <v>3.0</v>
      </c>
      <c r="S71" s="19">
        <v>124.0</v>
      </c>
    </row>
    <row r="72" ht="25.5" customHeight="1">
      <c r="A72" s="4">
        <v>71.0</v>
      </c>
      <c r="B72" s="5" t="s">
        <v>11</v>
      </c>
      <c r="C72" s="6" t="s">
        <v>247</v>
      </c>
      <c r="D72" s="7" t="s">
        <v>296</v>
      </c>
      <c r="E72" s="8" t="s">
        <v>297</v>
      </c>
      <c r="F72" s="9" t="s">
        <v>298</v>
      </c>
      <c r="G72" s="21" t="s">
        <v>299</v>
      </c>
      <c r="H72" s="6" t="str">
        <f>IFERROR(__xludf.DUMMYFUNCTION("split(G72, "" "")"),"The")</f>
        <v>The</v>
      </c>
      <c r="I72" s="6" t="str">
        <f>IFERROR(__xludf.DUMMYFUNCTION("""COMPUTED_VALUE"""),"spaceship")</f>
        <v>spaceship</v>
      </c>
      <c r="J72" s="6" t="str">
        <f>IFERROR(__xludf.DUMMYFUNCTION("""COMPUTED_VALUE"""),"is")</f>
        <v>is</v>
      </c>
      <c r="K72" s="6" t="str">
        <f>IFERROR(__xludf.DUMMYFUNCTION("""COMPUTED_VALUE"""),"safe.")</f>
        <v>safe.</v>
      </c>
      <c r="L72" s="6"/>
      <c r="M72" s="6"/>
      <c r="N72" s="6"/>
      <c r="O72" s="6"/>
      <c r="P72" s="6"/>
      <c r="Q72" s="6"/>
      <c r="R72" s="20">
        <v>3.0</v>
      </c>
      <c r="S72" s="19">
        <v>124.0</v>
      </c>
    </row>
    <row r="73" ht="25.5" customHeight="1">
      <c r="A73" s="12">
        <v>72.0</v>
      </c>
      <c r="B73" s="13" t="s">
        <v>11</v>
      </c>
      <c r="C73" s="14" t="s">
        <v>247</v>
      </c>
      <c r="D73" s="15" t="s">
        <v>300</v>
      </c>
      <c r="E73" s="16" t="s">
        <v>301</v>
      </c>
      <c r="F73" s="17" t="s">
        <v>302</v>
      </c>
      <c r="G73" s="10" t="s">
        <v>303</v>
      </c>
      <c r="H73" s="14" t="str">
        <f>IFERROR(__xludf.DUMMYFUNCTION("split(G73, "" "")"),"Space")</f>
        <v>Space</v>
      </c>
      <c r="I73" s="14" t="str">
        <f>IFERROR(__xludf.DUMMYFUNCTION("""COMPUTED_VALUE"""),"can")</f>
        <v>can</v>
      </c>
      <c r="J73" s="14" t="str">
        <f>IFERROR(__xludf.DUMMYFUNCTION("""COMPUTED_VALUE"""),"be")</f>
        <v>be</v>
      </c>
      <c r="K73" s="14" t="str">
        <f>IFERROR(__xludf.DUMMYFUNCTION("""COMPUTED_VALUE"""),"dangerous.")</f>
        <v>dangerous.</v>
      </c>
      <c r="L73" s="14"/>
      <c r="M73" s="14"/>
      <c r="N73" s="14"/>
      <c r="O73" s="14"/>
      <c r="P73" s="14"/>
      <c r="Q73" s="14"/>
      <c r="R73" s="19">
        <v>2.0</v>
      </c>
      <c r="S73" s="19">
        <v>14.0</v>
      </c>
    </row>
    <row r="74" ht="25.5" customHeight="1">
      <c r="A74" s="4">
        <v>73.0</v>
      </c>
      <c r="B74" s="5" t="s">
        <v>11</v>
      </c>
      <c r="C74" s="6" t="s">
        <v>247</v>
      </c>
      <c r="D74" s="7" t="s">
        <v>304</v>
      </c>
      <c r="E74" s="8" t="s">
        <v>305</v>
      </c>
      <c r="F74" s="9" t="s">
        <v>306</v>
      </c>
      <c r="G74" s="21" t="s">
        <v>307</v>
      </c>
      <c r="H74" s="6" t="str">
        <f>IFERROR(__xludf.DUMMYFUNCTION("split(G74, "" "")"),"The")</f>
        <v>The</v>
      </c>
      <c r="I74" s="6" t="str">
        <f>IFERROR(__xludf.DUMMYFUNCTION("""COMPUTED_VALUE"""),"Earth")</f>
        <v>Earth</v>
      </c>
      <c r="J74" s="6" t="str">
        <f>IFERROR(__xludf.DUMMYFUNCTION("""COMPUTED_VALUE"""),"is")</f>
        <v>is</v>
      </c>
      <c r="K74" s="6" t="str">
        <f>IFERROR(__xludf.DUMMYFUNCTION("""COMPUTED_VALUE"""),"round.")</f>
        <v>round.</v>
      </c>
      <c r="L74" s="6"/>
      <c r="M74" s="6"/>
      <c r="N74" s="6"/>
      <c r="O74" s="6"/>
      <c r="P74" s="6"/>
      <c r="Q74" s="6"/>
      <c r="R74" s="20">
        <v>3.0</v>
      </c>
      <c r="S74" s="19">
        <v>124.0</v>
      </c>
    </row>
    <row r="75" ht="25.5" customHeight="1">
      <c r="A75" s="12">
        <v>74.0</v>
      </c>
      <c r="B75" s="13" t="s">
        <v>11</v>
      </c>
      <c r="C75" s="14" t="s">
        <v>247</v>
      </c>
      <c r="D75" s="15" t="s">
        <v>308</v>
      </c>
      <c r="E75" s="16" t="s">
        <v>309</v>
      </c>
      <c r="F75" s="17" t="s">
        <v>310</v>
      </c>
      <c r="G75" s="18" t="s">
        <v>311</v>
      </c>
      <c r="H75" s="14" t="str">
        <f>IFERROR(__xludf.DUMMYFUNCTION("split(G75, "" "")"),"There")</f>
        <v>There</v>
      </c>
      <c r="I75" s="14" t="str">
        <f>IFERROR(__xludf.DUMMYFUNCTION("""COMPUTED_VALUE"""),"are")</f>
        <v>are</v>
      </c>
      <c r="J75" s="14" t="str">
        <f>IFERROR(__xludf.DUMMYFUNCTION("""COMPUTED_VALUE"""),"many")</f>
        <v>many</v>
      </c>
      <c r="K75" s="14" t="str">
        <f>IFERROR(__xludf.DUMMYFUNCTION("""COMPUTED_VALUE"""),"stars.")</f>
        <v>stars.</v>
      </c>
      <c r="L75" s="14"/>
      <c r="M75" s="14"/>
      <c r="N75" s="14"/>
      <c r="O75" s="14"/>
      <c r="P75" s="14"/>
      <c r="Q75" s="14"/>
      <c r="R75" s="19">
        <v>2.0</v>
      </c>
      <c r="S75" s="19">
        <v>14.0</v>
      </c>
    </row>
    <row r="76" ht="25.5" customHeight="1">
      <c r="A76" s="4">
        <v>75.0</v>
      </c>
      <c r="B76" s="5" t="s">
        <v>11</v>
      </c>
      <c r="C76" s="6" t="s">
        <v>247</v>
      </c>
      <c r="D76" s="7" t="s">
        <v>312</v>
      </c>
      <c r="E76" s="8" t="s">
        <v>313</v>
      </c>
      <c r="F76" s="9" t="s">
        <v>314</v>
      </c>
      <c r="G76" s="10" t="s">
        <v>315</v>
      </c>
      <c r="H76" s="6" t="str">
        <f>IFERROR(__xludf.DUMMYFUNCTION("split(G76, "" "")"),"The")</f>
        <v>The</v>
      </c>
      <c r="I76" s="6" t="str">
        <f>IFERROR(__xludf.DUMMYFUNCTION("""COMPUTED_VALUE"""),"rocket")</f>
        <v>rocket</v>
      </c>
      <c r="J76" s="6" t="str">
        <f>IFERROR(__xludf.DUMMYFUNCTION("""COMPUTED_VALUE"""),"is")</f>
        <v>is</v>
      </c>
      <c r="K76" s="6" t="str">
        <f>IFERROR(__xludf.DUMMYFUNCTION("""COMPUTED_VALUE"""),"very")</f>
        <v>very</v>
      </c>
      <c r="L76" s="6" t="str">
        <f>IFERROR(__xludf.DUMMYFUNCTION("""COMPUTED_VALUE"""),"heavy.")</f>
        <v>heavy.</v>
      </c>
      <c r="M76" s="6"/>
      <c r="N76" s="6"/>
      <c r="O76" s="6"/>
      <c r="P76" s="6"/>
      <c r="Q76" s="6"/>
      <c r="R76" s="20">
        <v>3.0</v>
      </c>
      <c r="S76" s="19">
        <v>125.0</v>
      </c>
    </row>
    <row r="77" ht="25.5" customHeight="1">
      <c r="A77" s="12">
        <v>76.0</v>
      </c>
      <c r="B77" s="13" t="s">
        <v>11</v>
      </c>
      <c r="C77" s="14" t="s">
        <v>247</v>
      </c>
      <c r="D77" s="15" t="s">
        <v>316</v>
      </c>
      <c r="E77" s="16" t="s">
        <v>99</v>
      </c>
      <c r="F77" s="17" t="s">
        <v>317</v>
      </c>
      <c r="G77" s="18" t="s">
        <v>318</v>
      </c>
      <c r="H77" s="14" t="str">
        <f>IFERROR(__xludf.DUMMYFUNCTION("split(G77, "" "")"),"You")</f>
        <v>You</v>
      </c>
      <c r="I77" s="14" t="str">
        <f>IFERROR(__xludf.DUMMYFUNCTION("""COMPUTED_VALUE"""),"feel")</f>
        <v>feel</v>
      </c>
      <c r="J77" s="14" t="str">
        <f>IFERROR(__xludf.DUMMYFUNCTION("""COMPUTED_VALUE"""),"light")</f>
        <v>light</v>
      </c>
      <c r="K77" s="14" t="str">
        <f>IFERROR(__xludf.DUMMYFUNCTION("""COMPUTED_VALUE"""),"in")</f>
        <v>in</v>
      </c>
      <c r="L77" s="14" t="str">
        <f>IFERROR(__xludf.DUMMYFUNCTION("""COMPUTED_VALUE"""),"space.")</f>
        <v>space.</v>
      </c>
      <c r="M77" s="14"/>
      <c r="N77" s="14"/>
      <c r="O77" s="14"/>
      <c r="P77" s="14"/>
      <c r="Q77" s="14"/>
      <c r="R77" s="19">
        <v>4.0</v>
      </c>
      <c r="S77" s="19">
        <v>1235.0</v>
      </c>
    </row>
    <row r="78" ht="25.5" customHeight="1">
      <c r="A78" s="4">
        <v>77.0</v>
      </c>
      <c r="B78" s="5" t="s">
        <v>11</v>
      </c>
      <c r="C78" s="6" t="s">
        <v>247</v>
      </c>
      <c r="D78" s="7" t="s">
        <v>319</v>
      </c>
      <c r="E78" s="8" t="s">
        <v>320</v>
      </c>
      <c r="F78" s="9" t="s">
        <v>321</v>
      </c>
      <c r="G78" s="10" t="s">
        <v>322</v>
      </c>
      <c r="H78" s="6" t="str">
        <f>IFERROR(__xludf.DUMMYFUNCTION("split(G78, "" "")"),"Space")</f>
        <v>Space</v>
      </c>
      <c r="I78" s="6" t="str">
        <f>IFERROR(__xludf.DUMMYFUNCTION("""COMPUTED_VALUE"""),"is")</f>
        <v>is</v>
      </c>
      <c r="J78" s="6" t="str">
        <f>IFERROR(__xludf.DUMMYFUNCTION("""COMPUTED_VALUE"""),"very")</f>
        <v>very</v>
      </c>
      <c r="K78" s="6" t="str">
        <f>IFERROR(__xludf.DUMMYFUNCTION("""COMPUTED_VALUE"""),"quiet.")</f>
        <v>quiet.</v>
      </c>
      <c r="L78" s="6"/>
      <c r="M78" s="6"/>
      <c r="N78" s="6"/>
      <c r="O78" s="6"/>
      <c r="P78" s="6"/>
      <c r="Q78" s="6"/>
      <c r="R78" s="20">
        <v>2.0</v>
      </c>
      <c r="S78" s="19">
        <v>14.0</v>
      </c>
    </row>
    <row r="79" ht="25.5" customHeight="1">
      <c r="A79" s="12">
        <v>78.0</v>
      </c>
      <c r="B79" s="13" t="s">
        <v>11</v>
      </c>
      <c r="C79" s="14" t="s">
        <v>323</v>
      </c>
      <c r="D79" s="15" t="s">
        <v>324</v>
      </c>
      <c r="E79" s="16" t="s">
        <v>325</v>
      </c>
      <c r="F79" s="17" t="s">
        <v>326</v>
      </c>
      <c r="G79" s="18" t="s">
        <v>327</v>
      </c>
      <c r="H79" s="14" t="str">
        <f>IFERROR(__xludf.DUMMYFUNCTION("split(G79, "" "")"),"Birds")</f>
        <v>Birds</v>
      </c>
      <c r="I79" s="14" t="str">
        <f>IFERROR(__xludf.DUMMYFUNCTION("""COMPUTED_VALUE"""),"fly,")</f>
        <v>fly,</v>
      </c>
      <c r="J79" s="14" t="str">
        <f>IFERROR(__xludf.DUMMYFUNCTION("""COMPUTED_VALUE"""),"and")</f>
        <v>and</v>
      </c>
      <c r="K79" s="14" t="str">
        <f>IFERROR(__xludf.DUMMYFUNCTION("""COMPUTED_VALUE"""),"rockets")</f>
        <v>rockets</v>
      </c>
      <c r="L79" s="14" t="str">
        <f>IFERROR(__xludf.DUMMYFUNCTION("""COMPUTED_VALUE"""),"fly")</f>
        <v>fly</v>
      </c>
      <c r="M79" s="14" t="str">
        <f>IFERROR(__xludf.DUMMYFUNCTION("""COMPUTED_VALUE"""),"too.")</f>
        <v>too.</v>
      </c>
      <c r="N79" s="14"/>
      <c r="O79" s="14"/>
      <c r="P79" s="14"/>
      <c r="Q79" s="14"/>
      <c r="R79" s="19">
        <v>4.0</v>
      </c>
      <c r="S79" s="19">
        <v>1245.0</v>
      </c>
    </row>
    <row r="80" ht="25.5" customHeight="1">
      <c r="A80" s="4">
        <v>79.0</v>
      </c>
      <c r="B80" s="5" t="s">
        <v>11</v>
      </c>
      <c r="C80" s="6" t="s">
        <v>323</v>
      </c>
      <c r="D80" s="7" t="s">
        <v>328</v>
      </c>
      <c r="E80" s="8" t="s">
        <v>329</v>
      </c>
      <c r="F80" s="9" t="s">
        <v>330</v>
      </c>
      <c r="G80" s="21" t="s">
        <v>331</v>
      </c>
      <c r="H80" s="6" t="str">
        <f>IFERROR(__xludf.DUMMYFUNCTION("split(G80, "" "")"),"We")</f>
        <v>We</v>
      </c>
      <c r="I80" s="6" t="str">
        <f>IFERROR(__xludf.DUMMYFUNCTION("""COMPUTED_VALUE"""),"go")</f>
        <v>go</v>
      </c>
      <c r="J80" s="6" t="str">
        <f>IFERROR(__xludf.DUMMYFUNCTION("""COMPUTED_VALUE"""),"to")</f>
        <v>to</v>
      </c>
      <c r="K80" s="6" t="str">
        <f>IFERROR(__xludf.DUMMYFUNCTION("""COMPUTED_VALUE"""),"the")</f>
        <v>the</v>
      </c>
      <c r="L80" s="6" t="str">
        <f>IFERROR(__xludf.DUMMYFUNCTION("""COMPUTED_VALUE"""),"moon.")</f>
        <v>moon.</v>
      </c>
      <c r="M80" s="6"/>
      <c r="N80" s="6"/>
      <c r="O80" s="6"/>
      <c r="P80" s="6"/>
      <c r="Q80" s="6"/>
      <c r="R80" s="20">
        <v>3.0</v>
      </c>
      <c r="S80" s="19">
        <v>125.0</v>
      </c>
    </row>
    <row r="81" ht="25.5" customHeight="1">
      <c r="A81" s="12">
        <v>80.0</v>
      </c>
      <c r="B81" s="13" t="s">
        <v>11</v>
      </c>
      <c r="C81" s="14" t="s">
        <v>323</v>
      </c>
      <c r="D81" s="15" t="s">
        <v>332</v>
      </c>
      <c r="E81" s="16" t="s">
        <v>333</v>
      </c>
      <c r="F81" s="17" t="s">
        <v>334</v>
      </c>
      <c r="G81" s="18" t="s">
        <v>335</v>
      </c>
      <c r="H81" s="14" t="str">
        <f>IFERROR(__xludf.DUMMYFUNCTION("split(G81, "" "")"),"I")</f>
        <v>I</v>
      </c>
      <c r="I81" s="14" t="str">
        <f>IFERROR(__xludf.DUMMYFUNCTION("""COMPUTED_VALUE"""),"can")</f>
        <v>can</v>
      </c>
      <c r="J81" s="14" t="str">
        <f>IFERROR(__xludf.DUMMYFUNCTION("""COMPUTED_VALUE"""),"see")</f>
        <v>see</v>
      </c>
      <c r="K81" s="14" t="str">
        <f>IFERROR(__xludf.DUMMYFUNCTION("""COMPUTED_VALUE"""),"the")</f>
        <v>the</v>
      </c>
      <c r="L81" s="14" t="str">
        <f>IFERROR(__xludf.DUMMYFUNCTION("""COMPUTED_VALUE"""),"stars.")</f>
        <v>stars.</v>
      </c>
      <c r="M81" s="14"/>
      <c r="N81" s="14"/>
      <c r="O81" s="14"/>
      <c r="P81" s="14"/>
      <c r="Q81" s="14"/>
      <c r="R81" s="19">
        <v>3.0</v>
      </c>
      <c r="S81" s="19">
        <v>135.0</v>
      </c>
    </row>
    <row r="82" ht="25.5" customHeight="1">
      <c r="A82" s="4">
        <v>81.0</v>
      </c>
      <c r="B82" s="5" t="s">
        <v>11</v>
      </c>
      <c r="C82" s="6" t="s">
        <v>323</v>
      </c>
      <c r="D82" s="7" t="s">
        <v>336</v>
      </c>
      <c r="E82" s="8" t="s">
        <v>337</v>
      </c>
      <c r="F82" s="9" t="s">
        <v>338</v>
      </c>
      <c r="G82" s="21" t="s">
        <v>339</v>
      </c>
      <c r="H82" s="6" t="str">
        <f>IFERROR(__xludf.DUMMYFUNCTION("split(G82, "" "")"),"Look")</f>
        <v>Look</v>
      </c>
      <c r="I82" s="6" t="str">
        <f>IFERROR(__xludf.DUMMYFUNCTION("""COMPUTED_VALUE"""),"at")</f>
        <v>at</v>
      </c>
      <c r="J82" s="6" t="str">
        <f>IFERROR(__xludf.DUMMYFUNCTION("""COMPUTED_VALUE"""),"the")</f>
        <v>the</v>
      </c>
      <c r="K82" s="6" t="str">
        <f>IFERROR(__xludf.DUMMYFUNCTION("""COMPUTED_VALUE"""),"big")</f>
        <v>big</v>
      </c>
      <c r="L82" s="6" t="str">
        <f>IFERROR(__xludf.DUMMYFUNCTION("""COMPUTED_VALUE"""),"moon!")</f>
        <v>moon!</v>
      </c>
      <c r="M82" s="6"/>
      <c r="N82" s="6"/>
      <c r="O82" s="6"/>
      <c r="P82" s="6"/>
      <c r="Q82" s="6"/>
      <c r="R82" s="20">
        <v>3.0</v>
      </c>
      <c r="S82" s="19">
        <v>145.0</v>
      </c>
    </row>
    <row r="83" ht="25.5" customHeight="1">
      <c r="A83" s="12">
        <v>82.0</v>
      </c>
      <c r="B83" s="13" t="s">
        <v>11</v>
      </c>
      <c r="C83" s="14" t="s">
        <v>323</v>
      </c>
      <c r="D83" s="15" t="s">
        <v>340</v>
      </c>
      <c r="E83" s="16" t="s">
        <v>341</v>
      </c>
      <c r="F83" s="17" t="s">
        <v>342</v>
      </c>
      <c r="G83" s="10" t="s">
        <v>343</v>
      </c>
      <c r="H83" s="14" t="str">
        <f>IFERROR(__xludf.DUMMYFUNCTION("split(G83, "" "")"),"Astronauts")</f>
        <v>Astronauts</v>
      </c>
      <c r="I83" s="14" t="str">
        <f>IFERROR(__xludf.DUMMYFUNCTION("""COMPUTED_VALUE"""),"float")</f>
        <v>float</v>
      </c>
      <c r="J83" s="14" t="str">
        <f>IFERROR(__xludf.DUMMYFUNCTION("""COMPUTED_VALUE"""),"in")</f>
        <v>in</v>
      </c>
      <c r="K83" s="14" t="str">
        <f>IFERROR(__xludf.DUMMYFUNCTION("""COMPUTED_VALUE"""),"space.")</f>
        <v>space.</v>
      </c>
      <c r="L83" s="14"/>
      <c r="M83" s="14"/>
      <c r="N83" s="14"/>
      <c r="O83" s="14"/>
      <c r="P83" s="14"/>
      <c r="Q83" s="14"/>
      <c r="R83" s="19">
        <v>3.0</v>
      </c>
      <c r="S83" s="19">
        <v>124.0</v>
      </c>
    </row>
    <row r="84" ht="25.5" customHeight="1">
      <c r="A84" s="4">
        <v>83.0</v>
      </c>
      <c r="B84" s="5" t="s">
        <v>11</v>
      </c>
      <c r="C84" s="6" t="s">
        <v>323</v>
      </c>
      <c r="D84" s="7" t="s">
        <v>344</v>
      </c>
      <c r="E84" s="8" t="s">
        <v>345</v>
      </c>
      <c r="F84" s="9" t="s">
        <v>346</v>
      </c>
      <c r="G84" s="21" t="s">
        <v>347</v>
      </c>
      <c r="H84" s="6" t="str">
        <f>IFERROR(__xludf.DUMMYFUNCTION("split(G84, "" "")"),"Meteors")</f>
        <v>Meteors</v>
      </c>
      <c r="I84" s="6" t="str">
        <f>IFERROR(__xludf.DUMMYFUNCTION("""COMPUTED_VALUE"""),"fall")</f>
        <v>fall</v>
      </c>
      <c r="J84" s="6" t="str">
        <f>IFERROR(__xludf.DUMMYFUNCTION("""COMPUTED_VALUE"""),"to")</f>
        <v>to</v>
      </c>
      <c r="K84" s="6" t="str">
        <f>IFERROR(__xludf.DUMMYFUNCTION("""COMPUTED_VALUE"""),"Earth.")</f>
        <v>Earth.</v>
      </c>
      <c r="L84" s="6"/>
      <c r="M84" s="6"/>
      <c r="N84" s="6"/>
      <c r="O84" s="6"/>
      <c r="P84" s="6"/>
      <c r="Q84" s="6"/>
      <c r="R84" s="20">
        <v>3.0</v>
      </c>
      <c r="S84" s="19">
        <v>124.0</v>
      </c>
    </row>
    <row r="85" ht="25.5" customHeight="1">
      <c r="A85" s="12">
        <v>84.0</v>
      </c>
      <c r="B85" s="13" t="s">
        <v>11</v>
      </c>
      <c r="C85" s="14" t="s">
        <v>323</v>
      </c>
      <c r="D85" s="15" t="s">
        <v>348</v>
      </c>
      <c r="E85" s="16" t="s">
        <v>349</v>
      </c>
      <c r="F85" s="17" t="s">
        <v>350</v>
      </c>
      <c r="G85" s="18" t="s">
        <v>351</v>
      </c>
      <c r="H85" s="14" t="str">
        <f>IFERROR(__xludf.DUMMYFUNCTION("split(G85, "" "")"),"The")</f>
        <v>The</v>
      </c>
      <c r="I85" s="14" t="str">
        <f>IFERROR(__xludf.DUMMYFUNCTION("""COMPUTED_VALUE"""),"stars")</f>
        <v>stars</v>
      </c>
      <c r="J85" s="14" t="str">
        <f>IFERROR(__xludf.DUMMYFUNCTION("""COMPUTED_VALUE"""),"shine")</f>
        <v>shine</v>
      </c>
      <c r="K85" s="14" t="str">
        <f>IFERROR(__xludf.DUMMYFUNCTION("""COMPUTED_VALUE"""),"bright.")</f>
        <v>bright.</v>
      </c>
      <c r="L85" s="14"/>
      <c r="M85" s="14"/>
      <c r="N85" s="14"/>
      <c r="O85" s="14"/>
      <c r="P85" s="14"/>
      <c r="Q85" s="14"/>
      <c r="R85" s="19">
        <v>4.0</v>
      </c>
      <c r="S85" s="19">
        <v>1234.0</v>
      </c>
    </row>
    <row r="86" ht="25.5" customHeight="1">
      <c r="A86" s="4">
        <v>85.0</v>
      </c>
      <c r="B86" s="5" t="s">
        <v>11</v>
      </c>
      <c r="C86" s="6" t="s">
        <v>323</v>
      </c>
      <c r="D86" s="7" t="s">
        <v>352</v>
      </c>
      <c r="E86" s="8" t="s">
        <v>353</v>
      </c>
      <c r="F86" s="9" t="s">
        <v>354</v>
      </c>
      <c r="G86" s="21" t="s">
        <v>355</v>
      </c>
      <c r="H86" s="6" t="str">
        <f>IFERROR(__xludf.DUMMYFUNCTION("split(G86, "" "")"),"Planets")</f>
        <v>Planets</v>
      </c>
      <c r="I86" s="6" t="str">
        <f>IFERROR(__xludf.DUMMYFUNCTION("""COMPUTED_VALUE"""),"move")</f>
        <v>move</v>
      </c>
      <c r="J86" s="6" t="str">
        <f>IFERROR(__xludf.DUMMYFUNCTION("""COMPUTED_VALUE"""),"around")</f>
        <v>around</v>
      </c>
      <c r="K86" s="6" t="str">
        <f>IFERROR(__xludf.DUMMYFUNCTION("""COMPUTED_VALUE"""),"the")</f>
        <v>the</v>
      </c>
      <c r="L86" s="6" t="str">
        <f>IFERROR(__xludf.DUMMYFUNCTION("""COMPUTED_VALUE"""),"sun.")</f>
        <v>sun.</v>
      </c>
      <c r="M86" s="6"/>
      <c r="N86" s="6"/>
      <c r="O86" s="6"/>
      <c r="P86" s="6"/>
      <c r="Q86" s="6"/>
      <c r="R86" s="20">
        <v>3.0</v>
      </c>
      <c r="S86" s="19">
        <v>125.0</v>
      </c>
    </row>
    <row r="87" ht="25.5" customHeight="1">
      <c r="A87" s="12">
        <v>86.0</v>
      </c>
      <c r="B87" s="13" t="s">
        <v>11</v>
      </c>
      <c r="C87" s="14" t="s">
        <v>323</v>
      </c>
      <c r="D87" s="15" t="s">
        <v>356</v>
      </c>
      <c r="E87" s="16" t="s">
        <v>357</v>
      </c>
      <c r="F87" s="17" t="s">
        <v>358</v>
      </c>
      <c r="G87" s="10" t="s">
        <v>359</v>
      </c>
      <c r="H87" s="14" t="str">
        <f>IFERROR(__xludf.DUMMYFUNCTION("split(G87, "" "")"),"The")</f>
        <v>The</v>
      </c>
      <c r="I87" s="14" t="str">
        <f>IFERROR(__xludf.DUMMYFUNCTION("""COMPUTED_VALUE"""),"rocket")</f>
        <v>rocket</v>
      </c>
      <c r="J87" s="14" t="str">
        <f>IFERROR(__xludf.DUMMYFUNCTION("""COMPUTED_VALUE"""),"does")</f>
        <v>does</v>
      </c>
      <c r="K87" s="14" t="str">
        <f>IFERROR(__xludf.DUMMYFUNCTION("""COMPUTED_VALUE"""),"not")</f>
        <v>not</v>
      </c>
      <c r="L87" s="14" t="str">
        <f>IFERROR(__xludf.DUMMYFUNCTION("""COMPUTED_VALUE"""),"stop.")</f>
        <v>stop.</v>
      </c>
      <c r="M87" s="14"/>
      <c r="N87" s="14"/>
      <c r="O87" s="14"/>
      <c r="P87" s="14"/>
      <c r="Q87" s="14"/>
      <c r="R87" s="19">
        <v>4.0</v>
      </c>
      <c r="S87" s="19">
        <v>1245.0</v>
      </c>
    </row>
    <row r="88" ht="25.5" customHeight="1">
      <c r="A88" s="4">
        <v>87.0</v>
      </c>
      <c r="B88" s="5" t="s">
        <v>11</v>
      </c>
      <c r="C88" s="6" t="s">
        <v>323</v>
      </c>
      <c r="D88" s="7" t="s">
        <v>360</v>
      </c>
      <c r="E88" s="8" t="s">
        <v>361</v>
      </c>
      <c r="F88" s="9" t="s">
        <v>362</v>
      </c>
      <c r="G88" s="21" t="s">
        <v>363</v>
      </c>
      <c r="H88" s="6" t="str">
        <f>IFERROR(__xludf.DUMMYFUNCTION("split(G88, "" "")"),"The")</f>
        <v>The</v>
      </c>
      <c r="I88" s="6" t="str">
        <f>IFERROR(__xludf.DUMMYFUNCTION("""COMPUTED_VALUE"""),"countdown")</f>
        <v>countdown</v>
      </c>
      <c r="J88" s="6" t="str">
        <f>IFERROR(__xludf.DUMMYFUNCTION("""COMPUTED_VALUE"""),"starts")</f>
        <v>starts</v>
      </c>
      <c r="K88" s="6" t="str">
        <f>IFERROR(__xludf.DUMMYFUNCTION("""COMPUTED_VALUE"""),"now.")</f>
        <v>now.</v>
      </c>
      <c r="L88" s="6"/>
      <c r="M88" s="6"/>
      <c r="N88" s="6"/>
      <c r="O88" s="6"/>
      <c r="P88" s="6"/>
      <c r="Q88" s="6"/>
      <c r="R88" s="20">
        <v>4.0</v>
      </c>
      <c r="S88" s="19">
        <v>1234.0</v>
      </c>
    </row>
    <row r="89" ht="25.5" customHeight="1">
      <c r="A89" s="12">
        <v>88.0</v>
      </c>
      <c r="B89" s="13" t="s">
        <v>11</v>
      </c>
      <c r="C89" s="14" t="s">
        <v>323</v>
      </c>
      <c r="D89" s="15" t="s">
        <v>364</v>
      </c>
      <c r="E89" s="16" t="s">
        <v>365</v>
      </c>
      <c r="F89" s="17" t="s">
        <v>366</v>
      </c>
      <c r="G89" s="18" t="s">
        <v>367</v>
      </c>
      <c r="H89" s="14" t="str">
        <f>IFERROR(__xludf.DUMMYFUNCTION("split(G89, "" "")"),"We")</f>
        <v>We</v>
      </c>
      <c r="I89" s="14" t="str">
        <f>IFERROR(__xludf.DUMMYFUNCTION("""COMPUTED_VALUE"""),"live")</f>
        <v>live</v>
      </c>
      <c r="J89" s="14" t="str">
        <f>IFERROR(__xludf.DUMMYFUNCTION("""COMPUTED_VALUE"""),"on")</f>
        <v>on</v>
      </c>
      <c r="K89" s="14" t="str">
        <f>IFERROR(__xludf.DUMMYFUNCTION("""COMPUTED_VALUE"""),"planet")</f>
        <v>planet</v>
      </c>
      <c r="L89" s="14" t="str">
        <f>IFERROR(__xludf.DUMMYFUNCTION("""COMPUTED_VALUE"""),"Earth.")</f>
        <v>Earth.</v>
      </c>
      <c r="M89" s="14"/>
      <c r="N89" s="14"/>
      <c r="O89" s="14"/>
      <c r="P89" s="14"/>
      <c r="Q89" s="14"/>
      <c r="R89" s="19">
        <v>4.0</v>
      </c>
      <c r="S89" s="19">
        <v>1245.0</v>
      </c>
    </row>
    <row r="90" ht="25.5" customHeight="1">
      <c r="A90" s="4">
        <v>89.0</v>
      </c>
      <c r="B90" s="23" t="s">
        <v>11</v>
      </c>
      <c r="C90" s="24" t="s">
        <v>323</v>
      </c>
      <c r="D90" s="25" t="s">
        <v>368</v>
      </c>
      <c r="E90" s="26" t="s">
        <v>369</v>
      </c>
      <c r="F90" s="27" t="s">
        <v>370</v>
      </c>
      <c r="G90" s="10" t="s">
        <v>371</v>
      </c>
      <c r="H90" s="24" t="str">
        <f>IFERROR(__xludf.DUMMYFUNCTION("split(G90, "" "")"),"They")</f>
        <v>They</v>
      </c>
      <c r="I90" s="24" t="str">
        <f>IFERROR(__xludf.DUMMYFUNCTION("""COMPUTED_VALUE"""),"build")</f>
        <v>build</v>
      </c>
      <c r="J90" s="24" t="str">
        <f>IFERROR(__xludf.DUMMYFUNCTION("""COMPUTED_VALUE"""),"big")</f>
        <v>big</v>
      </c>
      <c r="K90" s="24" t="str">
        <f>IFERROR(__xludf.DUMMYFUNCTION("""COMPUTED_VALUE"""),"spaceships.")</f>
        <v>spaceships.</v>
      </c>
      <c r="L90" s="24"/>
      <c r="M90" s="24"/>
      <c r="N90" s="24"/>
      <c r="O90" s="24"/>
      <c r="P90" s="24"/>
      <c r="Q90" s="24"/>
      <c r="R90" s="20">
        <v>4.0</v>
      </c>
      <c r="S90" s="19">
        <v>1234.0</v>
      </c>
      <c r="T90" s="22"/>
      <c r="U90" s="22"/>
      <c r="V90" s="22"/>
      <c r="W90" s="22"/>
      <c r="X90" s="22"/>
      <c r="Y90" s="22"/>
      <c r="Z90" s="22"/>
    </row>
    <row r="91" ht="25.5" customHeight="1">
      <c r="A91" s="12">
        <v>90.0</v>
      </c>
      <c r="B91" s="13" t="s">
        <v>11</v>
      </c>
      <c r="C91" s="14" t="s">
        <v>323</v>
      </c>
      <c r="D91" s="15" t="s">
        <v>372</v>
      </c>
      <c r="E91" s="16" t="s">
        <v>373</v>
      </c>
      <c r="F91" s="17" t="s">
        <v>374</v>
      </c>
      <c r="G91" s="18" t="s">
        <v>375</v>
      </c>
      <c r="H91" s="14" t="str">
        <f>IFERROR(__xludf.DUMMYFUNCTION("split(G91, "" "")"),"Factories")</f>
        <v>Factories</v>
      </c>
      <c r="I91" s="14" t="str">
        <f>IFERROR(__xludf.DUMMYFUNCTION("""COMPUTED_VALUE"""),"make")</f>
        <v>make</v>
      </c>
      <c r="J91" s="14" t="str">
        <f>IFERROR(__xludf.DUMMYFUNCTION("""COMPUTED_VALUE"""),"satellites.")</f>
        <v>satellites.</v>
      </c>
      <c r="K91" s="14"/>
      <c r="L91" s="14"/>
      <c r="M91" s="14"/>
      <c r="N91" s="14"/>
      <c r="O91" s="14"/>
      <c r="P91" s="14"/>
      <c r="Q91" s="14"/>
      <c r="R91" s="19">
        <v>3.0</v>
      </c>
      <c r="S91" s="19">
        <v>123.0</v>
      </c>
    </row>
    <row r="92" ht="25.5" customHeight="1">
      <c r="A92" s="4">
        <v>91.0</v>
      </c>
      <c r="B92" s="5" t="s">
        <v>11</v>
      </c>
      <c r="C92" s="6" t="s">
        <v>323</v>
      </c>
      <c r="D92" s="7" t="s">
        <v>376</v>
      </c>
      <c r="E92" s="8" t="s">
        <v>377</v>
      </c>
      <c r="F92" s="9" t="s">
        <v>378</v>
      </c>
      <c r="G92" s="21" t="s">
        <v>379</v>
      </c>
      <c r="H92" s="6" t="str">
        <f>IFERROR(__xludf.DUMMYFUNCTION("split(G92, "" "")"),"Scientists")</f>
        <v>Scientists</v>
      </c>
      <c r="I92" s="6" t="str">
        <f>IFERROR(__xludf.DUMMYFUNCTION("""COMPUTED_VALUE"""),"find")</f>
        <v>find</v>
      </c>
      <c r="J92" s="6" t="str">
        <f>IFERROR(__xludf.DUMMYFUNCTION("""COMPUTED_VALUE"""),"new")</f>
        <v>new</v>
      </c>
      <c r="K92" s="6" t="str">
        <f>IFERROR(__xludf.DUMMYFUNCTION("""COMPUTED_VALUE"""),"planets.")</f>
        <v>planets.</v>
      </c>
      <c r="L92" s="6"/>
      <c r="M92" s="6"/>
      <c r="N92" s="6"/>
      <c r="O92" s="6"/>
      <c r="P92" s="6"/>
      <c r="Q92" s="6"/>
      <c r="R92" s="20">
        <v>4.0</v>
      </c>
      <c r="S92" s="19">
        <v>1234.0</v>
      </c>
    </row>
    <row r="93" ht="25.5" customHeight="1">
      <c r="A93" s="12">
        <v>92.0</v>
      </c>
      <c r="B93" s="13" t="s">
        <v>11</v>
      </c>
      <c r="C93" s="14" t="s">
        <v>323</v>
      </c>
      <c r="D93" s="15" t="s">
        <v>380</v>
      </c>
      <c r="E93" s="16" t="s">
        <v>381</v>
      </c>
      <c r="F93" s="17" t="s">
        <v>382</v>
      </c>
      <c r="G93" s="18" t="s">
        <v>383</v>
      </c>
      <c r="H93" s="14" t="str">
        <f>IFERROR(__xludf.DUMMYFUNCTION("split(G93, "" "")"),"We")</f>
        <v>We</v>
      </c>
      <c r="I93" s="14" t="str">
        <f>IFERROR(__xludf.DUMMYFUNCTION("""COMPUTED_VALUE"""),"want")</f>
        <v>want</v>
      </c>
      <c r="J93" s="14" t="str">
        <f>IFERROR(__xludf.DUMMYFUNCTION("""COMPUTED_VALUE"""),"to")</f>
        <v>to</v>
      </c>
      <c r="K93" s="14" t="str">
        <f>IFERROR(__xludf.DUMMYFUNCTION("""COMPUTED_VALUE"""),"travel")</f>
        <v>travel</v>
      </c>
      <c r="L93" s="14" t="str">
        <f>IFERROR(__xludf.DUMMYFUNCTION("""COMPUTED_VALUE"""),"to")</f>
        <v>to</v>
      </c>
      <c r="M93" s="14" t="str">
        <f>IFERROR(__xludf.DUMMYFUNCTION("""COMPUTED_VALUE"""),"Mars.")</f>
        <v>Mars.</v>
      </c>
      <c r="N93" s="14"/>
      <c r="O93" s="14"/>
      <c r="P93" s="14"/>
      <c r="Q93" s="14"/>
      <c r="R93" s="19">
        <v>4.0</v>
      </c>
      <c r="S93" s="19">
        <v>1246.0</v>
      </c>
    </row>
    <row r="94" ht="15.75" customHeight="1">
      <c r="R94" s="28"/>
      <c r="S94" s="28"/>
    </row>
    <row r="95" ht="15.75" customHeight="1">
      <c r="R95" s="28"/>
      <c r="S95" s="28"/>
    </row>
    <row r="96" ht="15.75" customHeight="1">
      <c r="R96" s="28"/>
      <c r="S96" s="28"/>
    </row>
    <row r="97" ht="15.75" customHeight="1">
      <c r="R97" s="28"/>
      <c r="S97" s="28"/>
    </row>
    <row r="98" ht="15.75" customHeight="1">
      <c r="R98" s="28"/>
      <c r="S98" s="28"/>
    </row>
    <row r="99" ht="15.75" customHeight="1">
      <c r="R99" s="28"/>
      <c r="S99" s="28"/>
    </row>
    <row r="100" ht="15.75" customHeight="1">
      <c r="R100" s="28"/>
      <c r="S100" s="28"/>
    </row>
    <row r="101" ht="15.75" customHeight="1">
      <c r="R101" s="28"/>
      <c r="S101" s="28"/>
    </row>
    <row r="102" ht="15.75" customHeight="1">
      <c r="R102" s="28"/>
      <c r="S102" s="28"/>
    </row>
    <row r="103" ht="15.75" customHeight="1">
      <c r="R103" s="28"/>
      <c r="S103" s="28"/>
    </row>
    <row r="104" ht="15.75" customHeight="1">
      <c r="R104" s="28"/>
      <c r="S104" s="28"/>
    </row>
    <row r="105" ht="15.75" customHeight="1">
      <c r="R105" s="28"/>
      <c r="S105" s="28"/>
    </row>
    <row r="106" ht="15.75" customHeight="1">
      <c r="R106" s="28"/>
      <c r="S106" s="28"/>
    </row>
    <row r="107" ht="15.75" customHeight="1">
      <c r="R107" s="28"/>
      <c r="S107" s="28"/>
    </row>
    <row r="108" ht="15.75" customHeight="1">
      <c r="R108" s="28"/>
      <c r="S108" s="28"/>
    </row>
    <row r="109" ht="15.75" customHeight="1">
      <c r="R109" s="28"/>
      <c r="S109" s="28"/>
    </row>
    <row r="110" ht="15.75" customHeight="1">
      <c r="R110" s="28"/>
      <c r="S110" s="28"/>
    </row>
    <row r="111" ht="15.75" customHeight="1">
      <c r="R111" s="28"/>
      <c r="S111" s="28"/>
    </row>
    <row r="112" ht="15.75" customHeight="1">
      <c r="R112" s="28"/>
      <c r="S112" s="28"/>
    </row>
    <row r="113" ht="15.75" customHeight="1">
      <c r="R113" s="28"/>
      <c r="S113" s="28"/>
    </row>
    <row r="114" ht="15.75" customHeight="1">
      <c r="R114" s="28"/>
      <c r="S114" s="28"/>
    </row>
    <row r="115" ht="15.75" customHeight="1">
      <c r="R115" s="28"/>
      <c r="S115" s="28"/>
    </row>
    <row r="116" ht="15.75" customHeight="1">
      <c r="R116" s="28"/>
      <c r="S116" s="28"/>
    </row>
    <row r="117" ht="15.75" customHeight="1">
      <c r="R117" s="28"/>
      <c r="S117" s="28"/>
    </row>
    <row r="118" ht="15.75" customHeight="1">
      <c r="R118" s="28"/>
      <c r="S118" s="28"/>
    </row>
    <row r="119" ht="15.75" customHeight="1">
      <c r="R119" s="28"/>
      <c r="S119" s="28"/>
    </row>
    <row r="120" ht="15.75" customHeight="1">
      <c r="R120" s="28"/>
      <c r="S120" s="28"/>
    </row>
    <row r="121" ht="15.75" customHeight="1">
      <c r="R121" s="28"/>
      <c r="S121" s="28"/>
    </row>
    <row r="122" ht="15.75" customHeight="1">
      <c r="R122" s="28"/>
      <c r="S122" s="28"/>
    </row>
    <row r="123" ht="15.75" customHeight="1">
      <c r="R123" s="28"/>
      <c r="S123" s="28"/>
    </row>
    <row r="124" ht="15.75" customHeight="1">
      <c r="R124" s="28"/>
      <c r="S124" s="28"/>
    </row>
    <row r="125" ht="15.75" customHeight="1">
      <c r="R125" s="28"/>
      <c r="S125" s="28"/>
    </row>
    <row r="126" ht="15.75" customHeight="1">
      <c r="R126" s="28"/>
      <c r="S126" s="28"/>
    </row>
    <row r="127" ht="15.75" customHeight="1">
      <c r="R127" s="28"/>
      <c r="S127" s="28"/>
    </row>
    <row r="128" ht="15.75" customHeight="1">
      <c r="R128" s="28"/>
      <c r="S128" s="28"/>
    </row>
    <row r="129" ht="15.75" customHeight="1">
      <c r="R129" s="28"/>
      <c r="S129" s="28"/>
    </row>
    <row r="130" ht="15.75" customHeight="1">
      <c r="R130" s="28"/>
      <c r="S130" s="28"/>
    </row>
    <row r="131" ht="15.75" customHeight="1">
      <c r="R131" s="28"/>
      <c r="S131" s="28"/>
    </row>
    <row r="132" ht="15.75" customHeight="1">
      <c r="R132" s="28"/>
      <c r="S132" s="28"/>
    </row>
    <row r="133" ht="15.75" customHeight="1">
      <c r="R133" s="28"/>
      <c r="S133" s="28"/>
    </row>
    <row r="134" ht="15.75" customHeight="1">
      <c r="R134" s="28"/>
      <c r="S134" s="28"/>
    </row>
    <row r="135" ht="15.75" customHeight="1">
      <c r="R135" s="28"/>
      <c r="S135" s="28"/>
    </row>
    <row r="136" ht="15.75" customHeight="1">
      <c r="R136" s="28"/>
      <c r="S136" s="28"/>
    </row>
    <row r="137" ht="15.75" customHeight="1">
      <c r="R137" s="28"/>
      <c r="S137" s="28"/>
    </row>
    <row r="138" ht="15.75" customHeight="1">
      <c r="R138" s="28"/>
      <c r="S138" s="28"/>
    </row>
    <row r="139" ht="15.75" customHeight="1">
      <c r="R139" s="28"/>
      <c r="S139" s="28"/>
    </row>
    <row r="140" ht="15.75" customHeight="1">
      <c r="R140" s="28"/>
      <c r="S140" s="28"/>
    </row>
    <row r="141" ht="15.75" customHeight="1">
      <c r="R141" s="28"/>
      <c r="S141" s="28"/>
    </row>
    <row r="142" ht="15.75" customHeight="1">
      <c r="R142" s="28"/>
      <c r="S142" s="28"/>
    </row>
    <row r="143" ht="15.75" customHeight="1">
      <c r="R143" s="28"/>
      <c r="S143" s="28"/>
    </row>
    <row r="144" ht="15.75" customHeight="1">
      <c r="R144" s="28"/>
      <c r="S144" s="28"/>
    </row>
    <row r="145" ht="15.75" customHeight="1">
      <c r="R145" s="28"/>
      <c r="S145" s="28"/>
    </row>
    <row r="146" ht="15.75" customHeight="1">
      <c r="R146" s="28"/>
      <c r="S146" s="28"/>
    </row>
    <row r="147" ht="15.75" customHeight="1">
      <c r="R147" s="28"/>
      <c r="S147" s="28"/>
    </row>
    <row r="148" ht="15.75" customHeight="1">
      <c r="R148" s="28"/>
      <c r="S148" s="28"/>
    </row>
    <row r="149" ht="15.75" customHeight="1">
      <c r="R149" s="28"/>
      <c r="S149" s="28"/>
    </row>
    <row r="150" ht="15.75" customHeight="1">
      <c r="R150" s="28"/>
      <c r="S150" s="28"/>
    </row>
    <row r="151" ht="15.75" customHeight="1">
      <c r="R151" s="28"/>
      <c r="S151" s="28"/>
    </row>
    <row r="152" ht="15.75" customHeight="1">
      <c r="R152" s="28"/>
      <c r="S152" s="28"/>
    </row>
    <row r="153" ht="15.75" customHeight="1">
      <c r="R153" s="28"/>
      <c r="S153" s="28"/>
    </row>
    <row r="154" ht="15.75" customHeight="1">
      <c r="R154" s="28"/>
      <c r="S154" s="28"/>
    </row>
    <row r="155" ht="15.75" customHeight="1">
      <c r="R155" s="28"/>
      <c r="S155" s="28"/>
    </row>
    <row r="156" ht="15.75" customHeight="1">
      <c r="R156" s="28"/>
      <c r="S156" s="28"/>
    </row>
    <row r="157" ht="15.75" customHeight="1">
      <c r="R157" s="28"/>
      <c r="S157" s="28"/>
    </row>
    <row r="158" ht="15.75" customHeight="1">
      <c r="R158" s="28"/>
      <c r="S158" s="28"/>
    </row>
    <row r="159" ht="15.75" customHeight="1">
      <c r="R159" s="28"/>
      <c r="S159" s="28"/>
    </row>
    <row r="160" ht="15.75" customHeight="1">
      <c r="R160" s="28"/>
      <c r="S160" s="28"/>
    </row>
    <row r="161" ht="15.75" customHeight="1">
      <c r="R161" s="28"/>
      <c r="S161" s="28"/>
    </row>
    <row r="162" ht="15.75" customHeight="1">
      <c r="R162" s="28"/>
      <c r="S162" s="28"/>
    </row>
    <row r="163" ht="15.75" customHeight="1">
      <c r="R163" s="28"/>
      <c r="S163" s="28"/>
    </row>
    <row r="164" ht="15.75" customHeight="1">
      <c r="R164" s="28"/>
      <c r="S164" s="28"/>
    </row>
    <row r="165" ht="15.75" customHeight="1">
      <c r="R165" s="28"/>
      <c r="S165" s="28"/>
    </row>
    <row r="166" ht="15.75" customHeight="1">
      <c r="R166" s="28"/>
      <c r="S166" s="28"/>
    </row>
    <row r="167" ht="15.75" customHeight="1">
      <c r="R167" s="28"/>
      <c r="S167" s="28"/>
    </row>
    <row r="168" ht="15.75" customHeight="1">
      <c r="R168" s="28"/>
      <c r="S168" s="28"/>
    </row>
    <row r="169" ht="15.75" customHeight="1">
      <c r="R169" s="28"/>
      <c r="S169" s="28"/>
    </row>
    <row r="170" ht="15.75" customHeight="1">
      <c r="R170" s="28"/>
      <c r="S170" s="28"/>
    </row>
    <row r="171" ht="15.75" customHeight="1">
      <c r="R171" s="28"/>
      <c r="S171" s="28"/>
    </row>
    <row r="172" ht="15.75" customHeight="1">
      <c r="R172" s="28"/>
      <c r="S172" s="28"/>
    </row>
    <row r="173" ht="15.75" customHeight="1">
      <c r="R173" s="28"/>
      <c r="S173" s="28"/>
    </row>
    <row r="174" ht="15.75" customHeight="1">
      <c r="R174" s="28"/>
      <c r="S174" s="28"/>
    </row>
    <row r="175" ht="15.75" customHeight="1">
      <c r="R175" s="28"/>
      <c r="S175" s="28"/>
    </row>
    <row r="176" ht="15.75" customHeight="1">
      <c r="R176" s="28"/>
      <c r="S176" s="28"/>
    </row>
    <row r="177" ht="15.75" customHeight="1">
      <c r="R177" s="28"/>
      <c r="S177" s="28"/>
    </row>
    <row r="178" ht="15.75" customHeight="1">
      <c r="R178" s="28"/>
      <c r="S178" s="28"/>
    </row>
    <row r="179" ht="15.75" customHeight="1">
      <c r="R179" s="28"/>
      <c r="S179" s="28"/>
    </row>
    <row r="180" ht="15.75" customHeight="1">
      <c r="R180" s="28"/>
      <c r="S180" s="28"/>
    </row>
    <row r="181" ht="15.75" customHeight="1">
      <c r="R181" s="28"/>
      <c r="S181" s="28"/>
    </row>
    <row r="182" ht="15.75" customHeight="1">
      <c r="R182" s="28"/>
      <c r="S182" s="28"/>
    </row>
    <row r="183" ht="15.75" customHeight="1">
      <c r="R183" s="28"/>
      <c r="S183" s="28"/>
    </row>
    <row r="184" ht="15.75" customHeight="1">
      <c r="R184" s="28"/>
      <c r="S184" s="28"/>
    </row>
    <row r="185" ht="15.75" customHeight="1">
      <c r="R185" s="28"/>
      <c r="S185" s="28"/>
    </row>
    <row r="186" ht="15.75" customHeight="1">
      <c r="R186" s="28"/>
      <c r="S186" s="28"/>
    </row>
    <row r="187" ht="15.75" customHeight="1">
      <c r="R187" s="28"/>
      <c r="S187" s="28"/>
    </row>
    <row r="188" ht="15.75" customHeight="1">
      <c r="R188" s="28"/>
      <c r="S188" s="28"/>
    </row>
    <row r="189" ht="15.75" customHeight="1">
      <c r="R189" s="28"/>
      <c r="S189" s="28"/>
    </row>
    <row r="190" ht="15.75" customHeight="1">
      <c r="R190" s="28"/>
      <c r="S190" s="28"/>
    </row>
    <row r="191" ht="15.75" customHeight="1">
      <c r="R191" s="28"/>
      <c r="S191" s="28"/>
    </row>
    <row r="192" ht="15.75" customHeight="1">
      <c r="R192" s="28"/>
      <c r="S192" s="28"/>
    </row>
    <row r="193" ht="15.75" customHeight="1">
      <c r="R193" s="28"/>
      <c r="S193" s="28"/>
    </row>
    <row r="194" ht="15.75" customHeight="1">
      <c r="R194" s="28"/>
      <c r="S194" s="28"/>
    </row>
    <row r="195" ht="15.75" customHeight="1">
      <c r="R195" s="28"/>
      <c r="S195" s="28"/>
    </row>
    <row r="196" ht="15.75" customHeight="1">
      <c r="R196" s="28"/>
      <c r="S196" s="28"/>
    </row>
    <row r="197" ht="15.75" customHeight="1">
      <c r="R197" s="28"/>
      <c r="S197" s="28"/>
    </row>
    <row r="198" ht="15.75" customHeight="1">
      <c r="R198" s="28"/>
      <c r="S198" s="28"/>
    </row>
    <row r="199" ht="15.75" customHeight="1">
      <c r="R199" s="28"/>
      <c r="S199" s="28"/>
    </row>
    <row r="200" ht="15.75" customHeight="1">
      <c r="R200" s="28"/>
      <c r="S200" s="28"/>
    </row>
    <row r="201" ht="15.75" customHeight="1">
      <c r="R201" s="28"/>
      <c r="S201" s="28"/>
    </row>
    <row r="202" ht="15.75" customHeight="1">
      <c r="R202" s="28"/>
      <c r="S202" s="28"/>
    </row>
    <row r="203" ht="15.75" customHeight="1">
      <c r="R203" s="28"/>
      <c r="S203" s="28"/>
    </row>
    <row r="204" ht="15.75" customHeight="1">
      <c r="R204" s="28"/>
      <c r="S204" s="28"/>
    </row>
    <row r="205" ht="15.75" customHeight="1">
      <c r="R205" s="28"/>
      <c r="S205" s="28"/>
    </row>
    <row r="206" ht="15.75" customHeight="1">
      <c r="R206" s="28"/>
      <c r="S206" s="28"/>
    </row>
    <row r="207" ht="15.75" customHeight="1">
      <c r="R207" s="28"/>
      <c r="S207" s="28"/>
    </row>
    <row r="208" ht="15.75" customHeight="1">
      <c r="R208" s="28"/>
      <c r="S208" s="28"/>
    </row>
    <row r="209" ht="15.75" customHeight="1">
      <c r="R209" s="28"/>
      <c r="S209" s="28"/>
    </row>
    <row r="210" ht="15.75" customHeight="1">
      <c r="R210" s="28"/>
      <c r="S210" s="28"/>
    </row>
    <row r="211" ht="15.75" customHeight="1">
      <c r="R211" s="28"/>
      <c r="S211" s="28"/>
    </row>
    <row r="212" ht="15.75" customHeight="1">
      <c r="R212" s="28"/>
      <c r="S212" s="28"/>
    </row>
    <row r="213" ht="15.75" customHeight="1">
      <c r="R213" s="28"/>
      <c r="S213" s="28"/>
    </row>
    <row r="214" ht="15.75" customHeight="1">
      <c r="R214" s="28"/>
      <c r="S214" s="28"/>
    </row>
    <row r="215" ht="15.75" customHeight="1">
      <c r="R215" s="28"/>
      <c r="S215" s="28"/>
    </row>
    <row r="216" ht="15.75" customHeight="1">
      <c r="R216" s="28"/>
      <c r="S216" s="28"/>
    </row>
    <row r="217" ht="15.75" customHeight="1">
      <c r="R217" s="28"/>
      <c r="S217" s="28"/>
    </row>
    <row r="218" ht="15.75" customHeight="1">
      <c r="R218" s="28"/>
      <c r="S218" s="28"/>
    </row>
    <row r="219" ht="15.75" customHeight="1">
      <c r="R219" s="28"/>
      <c r="S219" s="28"/>
    </row>
    <row r="220" ht="15.75" customHeight="1">
      <c r="R220" s="28"/>
      <c r="S220" s="28"/>
    </row>
    <row r="221" ht="15.75" customHeight="1">
      <c r="R221" s="28"/>
      <c r="S221" s="28"/>
    </row>
    <row r="222" ht="15.75" customHeight="1">
      <c r="R222" s="28"/>
      <c r="S222" s="28"/>
    </row>
    <row r="223" ht="15.75" customHeight="1">
      <c r="R223" s="28"/>
      <c r="S223" s="28"/>
    </row>
    <row r="224" ht="15.75" customHeight="1">
      <c r="R224" s="28"/>
      <c r="S224" s="28"/>
    </row>
    <row r="225" ht="15.75" customHeight="1">
      <c r="R225" s="28"/>
      <c r="S225" s="28"/>
    </row>
    <row r="226" ht="15.75" customHeight="1">
      <c r="R226" s="28"/>
      <c r="S226" s="28"/>
    </row>
    <row r="227" ht="15.75" customHeight="1">
      <c r="R227" s="28"/>
      <c r="S227" s="28"/>
    </row>
    <row r="228" ht="15.75" customHeight="1">
      <c r="R228" s="28"/>
      <c r="S228" s="28"/>
    </row>
    <row r="229" ht="15.75" customHeight="1">
      <c r="R229" s="28"/>
      <c r="S229" s="28"/>
    </row>
    <row r="230" ht="15.75" customHeight="1">
      <c r="R230" s="28"/>
      <c r="S230" s="28"/>
    </row>
    <row r="231" ht="15.75" customHeight="1">
      <c r="R231" s="28"/>
      <c r="S231" s="28"/>
    </row>
    <row r="232" ht="15.75" customHeight="1">
      <c r="R232" s="28"/>
      <c r="S232" s="28"/>
    </row>
    <row r="233" ht="15.75" customHeight="1">
      <c r="R233" s="28"/>
      <c r="S233" s="28"/>
    </row>
    <row r="234" ht="15.75" customHeight="1">
      <c r="R234" s="28"/>
      <c r="S234" s="28"/>
    </row>
    <row r="235" ht="15.75" customHeight="1">
      <c r="R235" s="28"/>
      <c r="S235" s="28"/>
    </row>
    <row r="236" ht="15.75" customHeight="1">
      <c r="R236" s="28"/>
      <c r="S236" s="28"/>
    </row>
    <row r="237" ht="15.75" customHeight="1">
      <c r="R237" s="28"/>
      <c r="S237" s="28"/>
    </row>
    <row r="238" ht="15.75" customHeight="1">
      <c r="R238" s="28"/>
      <c r="S238" s="28"/>
    </row>
    <row r="239" ht="15.75" customHeight="1">
      <c r="R239" s="28"/>
      <c r="S239" s="28"/>
    </row>
    <row r="240" ht="15.75" customHeight="1">
      <c r="R240" s="28"/>
      <c r="S240" s="28"/>
    </row>
    <row r="241" ht="15.75" customHeight="1">
      <c r="R241" s="28"/>
      <c r="S241" s="28"/>
    </row>
    <row r="242" ht="15.75" customHeight="1">
      <c r="R242" s="28"/>
      <c r="S242" s="28"/>
    </row>
    <row r="243" ht="15.75" customHeight="1">
      <c r="R243" s="28"/>
      <c r="S243" s="28"/>
    </row>
    <row r="244" ht="15.75" customHeight="1">
      <c r="R244" s="28"/>
      <c r="S244" s="28"/>
    </row>
    <row r="245" ht="15.75" customHeight="1">
      <c r="R245" s="28"/>
      <c r="S245" s="28"/>
    </row>
    <row r="246" ht="15.75" customHeight="1">
      <c r="R246" s="28"/>
      <c r="S246" s="28"/>
    </row>
    <row r="247" ht="15.75" customHeight="1">
      <c r="R247" s="28"/>
      <c r="S247" s="28"/>
    </row>
    <row r="248" ht="15.75" customHeight="1">
      <c r="R248" s="28"/>
      <c r="S248" s="28"/>
    </row>
    <row r="249" ht="15.75" customHeight="1">
      <c r="R249" s="28"/>
      <c r="S249" s="28"/>
    </row>
    <row r="250" ht="15.75" customHeight="1">
      <c r="R250" s="28"/>
      <c r="S250" s="28"/>
    </row>
    <row r="251" ht="15.75" customHeight="1">
      <c r="R251" s="28"/>
      <c r="S251" s="28"/>
    </row>
    <row r="252" ht="15.75" customHeight="1">
      <c r="R252" s="28"/>
      <c r="S252" s="28"/>
    </row>
    <row r="253" ht="15.75" customHeight="1">
      <c r="R253" s="28"/>
      <c r="S253" s="28"/>
    </row>
    <row r="254" ht="15.75" customHeight="1">
      <c r="R254" s="28"/>
      <c r="S254" s="28"/>
    </row>
    <row r="255" ht="15.75" customHeight="1">
      <c r="R255" s="28"/>
      <c r="S255" s="28"/>
    </row>
    <row r="256" ht="15.75" customHeight="1">
      <c r="R256" s="28"/>
      <c r="S256" s="28"/>
    </row>
    <row r="257" ht="15.75" customHeight="1">
      <c r="R257" s="28"/>
      <c r="S257" s="28"/>
    </row>
    <row r="258" ht="15.75" customHeight="1">
      <c r="R258" s="28"/>
      <c r="S258" s="28"/>
    </row>
    <row r="259" ht="15.75" customHeight="1">
      <c r="R259" s="28"/>
      <c r="S259" s="28"/>
    </row>
    <row r="260" ht="15.75" customHeight="1">
      <c r="R260" s="28"/>
      <c r="S260" s="28"/>
    </row>
    <row r="261" ht="15.75" customHeight="1">
      <c r="R261" s="28"/>
      <c r="S261" s="28"/>
    </row>
    <row r="262" ht="15.75" customHeight="1">
      <c r="R262" s="28"/>
      <c r="S262" s="28"/>
    </row>
    <row r="263" ht="15.75" customHeight="1">
      <c r="R263" s="28"/>
      <c r="S263" s="28"/>
    </row>
    <row r="264" ht="15.75" customHeight="1">
      <c r="R264" s="28"/>
      <c r="S264" s="28"/>
    </row>
    <row r="265" ht="15.75" customHeight="1">
      <c r="R265" s="28"/>
      <c r="S265" s="28"/>
    </row>
    <row r="266" ht="15.75" customHeight="1">
      <c r="R266" s="28"/>
      <c r="S266" s="28"/>
    </row>
    <row r="267" ht="15.75" customHeight="1">
      <c r="R267" s="28"/>
      <c r="S267" s="28"/>
    </row>
    <row r="268" ht="15.75" customHeight="1">
      <c r="R268" s="28"/>
      <c r="S268" s="28"/>
    </row>
    <row r="269" ht="15.75" customHeight="1">
      <c r="R269" s="28"/>
      <c r="S269" s="28"/>
    </row>
    <row r="270" ht="15.75" customHeight="1">
      <c r="R270" s="28"/>
      <c r="S270" s="28"/>
    </row>
    <row r="271" ht="15.75" customHeight="1">
      <c r="R271" s="28"/>
      <c r="S271" s="28"/>
    </row>
    <row r="272" ht="15.75" customHeight="1">
      <c r="R272" s="28"/>
      <c r="S272" s="28"/>
    </row>
    <row r="273" ht="15.75" customHeight="1">
      <c r="R273" s="28"/>
      <c r="S273" s="28"/>
    </row>
    <row r="274" ht="15.75" customHeight="1">
      <c r="R274" s="28"/>
      <c r="S274" s="28"/>
    </row>
    <row r="275" ht="15.75" customHeight="1">
      <c r="R275" s="28"/>
      <c r="S275" s="28"/>
    </row>
    <row r="276" ht="15.75" customHeight="1">
      <c r="R276" s="28"/>
      <c r="S276" s="28"/>
    </row>
    <row r="277" ht="15.75" customHeight="1">
      <c r="R277" s="28"/>
      <c r="S277" s="28"/>
    </row>
    <row r="278" ht="15.75" customHeight="1">
      <c r="R278" s="28"/>
      <c r="S278" s="28"/>
    </row>
    <row r="279" ht="15.75" customHeight="1">
      <c r="R279" s="28"/>
      <c r="S279" s="28"/>
    </row>
    <row r="280" ht="15.75" customHeight="1">
      <c r="R280" s="28"/>
      <c r="S280" s="28"/>
    </row>
    <row r="281" ht="15.75" customHeight="1">
      <c r="R281" s="28"/>
      <c r="S281" s="28"/>
    </row>
    <row r="282" ht="15.75" customHeight="1">
      <c r="R282" s="28"/>
      <c r="S282" s="28"/>
    </row>
    <row r="283" ht="15.75" customHeight="1">
      <c r="R283" s="28"/>
      <c r="S283" s="28"/>
    </row>
    <row r="284" ht="15.75" customHeight="1">
      <c r="R284" s="28"/>
      <c r="S284" s="28"/>
    </row>
    <row r="285" ht="15.75" customHeight="1">
      <c r="R285" s="28"/>
      <c r="S285" s="28"/>
    </row>
    <row r="286" ht="15.75" customHeight="1">
      <c r="R286" s="28"/>
      <c r="S286" s="28"/>
    </row>
    <row r="287" ht="15.75" customHeight="1">
      <c r="R287" s="28"/>
      <c r="S287" s="28"/>
    </row>
    <row r="288" ht="15.75" customHeight="1">
      <c r="R288" s="28"/>
      <c r="S288" s="28"/>
    </row>
    <row r="289" ht="15.75" customHeight="1">
      <c r="R289" s="28"/>
      <c r="S289" s="28"/>
    </row>
    <row r="290" ht="15.75" customHeight="1">
      <c r="R290" s="28"/>
      <c r="S290" s="28"/>
    </row>
    <row r="291" ht="15.75" customHeight="1">
      <c r="R291" s="28"/>
      <c r="S291" s="28"/>
    </row>
    <row r="292" ht="15.75" customHeight="1">
      <c r="R292" s="28"/>
      <c r="S292" s="28"/>
    </row>
    <row r="293" ht="15.75" customHeight="1">
      <c r="R293" s="28"/>
      <c r="S293" s="28"/>
    </row>
    <row r="294" ht="15.75" customHeight="1">
      <c r="R294" s="28"/>
      <c r="S294" s="28"/>
    </row>
    <row r="295" ht="15.75" customHeight="1">
      <c r="R295" s="28"/>
      <c r="S295" s="28"/>
    </row>
    <row r="296" ht="15.75" customHeight="1">
      <c r="R296" s="28"/>
      <c r="S296" s="28"/>
    </row>
    <row r="297" ht="15.75" customHeight="1">
      <c r="R297" s="28"/>
      <c r="S297" s="28"/>
    </row>
    <row r="298" ht="15.75" customHeight="1">
      <c r="R298" s="28"/>
      <c r="S298" s="28"/>
    </row>
    <row r="299" ht="15.75" customHeight="1">
      <c r="R299" s="28"/>
      <c r="S299" s="28"/>
    </row>
    <row r="300" ht="15.75" customHeight="1">
      <c r="R300" s="28"/>
      <c r="S300" s="28"/>
    </row>
    <row r="301" ht="15.75" customHeight="1">
      <c r="R301" s="28"/>
      <c r="S301" s="28"/>
    </row>
    <row r="302" ht="15.75" customHeight="1">
      <c r="R302" s="28"/>
      <c r="S302" s="28"/>
    </row>
    <row r="303" ht="15.75" customHeight="1">
      <c r="R303" s="28"/>
      <c r="S303" s="28"/>
    </row>
    <row r="304" ht="15.75" customHeight="1">
      <c r="R304" s="28"/>
      <c r="S304" s="28"/>
    </row>
    <row r="305" ht="15.75" customHeight="1">
      <c r="R305" s="28"/>
      <c r="S305" s="28"/>
    </row>
    <row r="306" ht="15.75" customHeight="1">
      <c r="R306" s="28"/>
      <c r="S306" s="28"/>
    </row>
    <row r="307" ht="15.75" customHeight="1">
      <c r="R307" s="28"/>
      <c r="S307" s="28"/>
    </row>
    <row r="308" ht="15.75" customHeight="1">
      <c r="R308" s="28"/>
      <c r="S308" s="28"/>
    </row>
    <row r="309" ht="15.75" customHeight="1">
      <c r="R309" s="28"/>
      <c r="S309" s="28"/>
    </row>
    <row r="310" ht="15.75" customHeight="1">
      <c r="R310" s="28"/>
      <c r="S310" s="28"/>
    </row>
    <row r="311" ht="15.75" customHeight="1">
      <c r="R311" s="28"/>
      <c r="S311" s="28"/>
    </row>
    <row r="312" ht="15.75" customHeight="1">
      <c r="R312" s="28"/>
      <c r="S312" s="28"/>
    </row>
    <row r="313" ht="15.75" customHeight="1">
      <c r="R313" s="28"/>
      <c r="S313" s="28"/>
    </row>
    <row r="314" ht="15.75" customHeight="1">
      <c r="R314" s="28"/>
      <c r="S314" s="28"/>
    </row>
    <row r="315" ht="15.75" customHeight="1">
      <c r="R315" s="28"/>
      <c r="S315" s="28"/>
    </row>
    <row r="316" ht="15.75" customHeight="1">
      <c r="R316" s="28"/>
      <c r="S316" s="28"/>
    </row>
    <row r="317" ht="15.75" customHeight="1">
      <c r="R317" s="28"/>
      <c r="S317" s="28"/>
    </row>
    <row r="318" ht="15.75" customHeight="1">
      <c r="R318" s="28"/>
      <c r="S318" s="28"/>
    </row>
    <row r="319" ht="15.75" customHeight="1">
      <c r="R319" s="28"/>
      <c r="S319" s="28"/>
    </row>
    <row r="320" ht="15.75" customHeight="1">
      <c r="R320" s="28"/>
      <c r="S320" s="28"/>
    </row>
    <row r="321" ht="15.75" customHeight="1">
      <c r="R321" s="28"/>
      <c r="S321" s="28"/>
    </row>
    <row r="322" ht="15.75" customHeight="1">
      <c r="R322" s="28"/>
      <c r="S322" s="28"/>
    </row>
    <row r="323" ht="15.75" customHeight="1">
      <c r="R323" s="28"/>
      <c r="S323" s="28"/>
    </row>
    <row r="324" ht="15.75" customHeight="1">
      <c r="R324" s="28"/>
      <c r="S324" s="28"/>
    </row>
    <row r="325" ht="15.75" customHeight="1">
      <c r="R325" s="28"/>
      <c r="S325" s="28"/>
    </row>
    <row r="326" ht="15.75" customHeight="1">
      <c r="R326" s="28"/>
      <c r="S326" s="28"/>
    </row>
    <row r="327" ht="15.75" customHeight="1">
      <c r="R327" s="28"/>
      <c r="S327" s="28"/>
    </row>
    <row r="328" ht="15.75" customHeight="1">
      <c r="R328" s="28"/>
      <c r="S328" s="28"/>
    </row>
    <row r="329" ht="15.75" customHeight="1">
      <c r="R329" s="28"/>
      <c r="S329" s="28"/>
    </row>
    <row r="330" ht="15.75" customHeight="1">
      <c r="R330" s="28"/>
      <c r="S330" s="28"/>
    </row>
    <row r="331" ht="15.75" customHeight="1">
      <c r="R331" s="28"/>
      <c r="S331" s="28"/>
    </row>
    <row r="332" ht="15.75" customHeight="1">
      <c r="R332" s="28"/>
      <c r="S332" s="28"/>
    </row>
    <row r="333" ht="15.75" customHeight="1">
      <c r="R333" s="28"/>
      <c r="S333" s="28"/>
    </row>
    <row r="334" ht="15.75" customHeight="1">
      <c r="R334" s="28"/>
      <c r="S334" s="28"/>
    </row>
    <row r="335" ht="15.75" customHeight="1">
      <c r="R335" s="28"/>
      <c r="S335" s="28"/>
    </row>
    <row r="336" ht="15.75" customHeight="1">
      <c r="R336" s="28"/>
      <c r="S336" s="28"/>
    </row>
    <row r="337" ht="15.75" customHeight="1">
      <c r="R337" s="28"/>
      <c r="S337" s="28"/>
    </row>
    <row r="338" ht="15.75" customHeight="1">
      <c r="R338" s="28"/>
      <c r="S338" s="28"/>
    </row>
    <row r="339" ht="15.75" customHeight="1">
      <c r="R339" s="28"/>
      <c r="S339" s="28"/>
    </row>
    <row r="340" ht="15.75" customHeight="1">
      <c r="R340" s="28"/>
      <c r="S340" s="28"/>
    </row>
    <row r="341" ht="15.75" customHeight="1">
      <c r="R341" s="28"/>
      <c r="S341" s="28"/>
    </row>
    <row r="342" ht="15.75" customHeight="1">
      <c r="R342" s="28"/>
      <c r="S342" s="28"/>
    </row>
    <row r="343" ht="15.75" customHeight="1">
      <c r="R343" s="28"/>
      <c r="S343" s="28"/>
    </row>
    <row r="344" ht="15.75" customHeight="1">
      <c r="R344" s="28"/>
      <c r="S344" s="28"/>
    </row>
    <row r="345" ht="15.75" customHeight="1">
      <c r="R345" s="28"/>
      <c r="S345" s="28"/>
    </row>
    <row r="346" ht="15.75" customHeight="1">
      <c r="R346" s="28"/>
      <c r="S346" s="28"/>
    </row>
    <row r="347" ht="15.75" customHeight="1">
      <c r="R347" s="28"/>
      <c r="S347" s="28"/>
    </row>
    <row r="348" ht="15.75" customHeight="1">
      <c r="R348" s="28"/>
      <c r="S348" s="28"/>
    </row>
    <row r="349" ht="15.75" customHeight="1">
      <c r="R349" s="28"/>
      <c r="S349" s="28"/>
    </row>
    <row r="350" ht="15.75" customHeight="1">
      <c r="R350" s="28"/>
      <c r="S350" s="28"/>
    </row>
    <row r="351" ht="15.75" customHeight="1">
      <c r="R351" s="28"/>
      <c r="S351" s="28"/>
    </row>
    <row r="352" ht="15.75" customHeight="1">
      <c r="R352" s="28"/>
      <c r="S352" s="28"/>
    </row>
    <row r="353" ht="15.75" customHeight="1">
      <c r="R353" s="28"/>
      <c r="S353" s="28"/>
    </row>
    <row r="354" ht="15.75" customHeight="1">
      <c r="R354" s="28"/>
      <c r="S354" s="28"/>
    </row>
    <row r="355" ht="15.75" customHeight="1">
      <c r="R355" s="28"/>
      <c r="S355" s="28"/>
    </row>
    <row r="356" ht="15.75" customHeight="1">
      <c r="R356" s="28"/>
      <c r="S356" s="28"/>
    </row>
    <row r="357" ht="15.75" customHeight="1">
      <c r="R357" s="28"/>
      <c r="S357" s="28"/>
    </row>
    <row r="358" ht="15.75" customHeight="1">
      <c r="R358" s="28"/>
      <c r="S358" s="28"/>
    </row>
    <row r="359" ht="15.75" customHeight="1">
      <c r="R359" s="28"/>
      <c r="S359" s="28"/>
    </row>
    <row r="360" ht="15.75" customHeight="1">
      <c r="R360" s="28"/>
      <c r="S360" s="28"/>
    </row>
    <row r="361" ht="15.75" customHeight="1">
      <c r="R361" s="28"/>
      <c r="S361" s="28"/>
    </row>
    <row r="362" ht="15.75" customHeight="1">
      <c r="R362" s="28"/>
      <c r="S362" s="28"/>
    </row>
    <row r="363" ht="15.75" customHeight="1">
      <c r="R363" s="28"/>
      <c r="S363" s="28"/>
    </row>
    <row r="364" ht="15.75" customHeight="1">
      <c r="R364" s="28"/>
      <c r="S364" s="28"/>
    </row>
    <row r="365" ht="15.75" customHeight="1">
      <c r="R365" s="28"/>
      <c r="S365" s="28"/>
    </row>
    <row r="366" ht="15.75" customHeight="1">
      <c r="R366" s="28"/>
      <c r="S366" s="28"/>
    </row>
    <row r="367" ht="15.75" customHeight="1">
      <c r="R367" s="28"/>
      <c r="S367" s="28"/>
    </row>
    <row r="368" ht="15.75" customHeight="1">
      <c r="R368" s="28"/>
      <c r="S368" s="28"/>
    </row>
    <row r="369" ht="15.75" customHeight="1">
      <c r="R369" s="28"/>
      <c r="S369" s="28"/>
    </row>
    <row r="370" ht="15.75" customHeight="1">
      <c r="R370" s="28"/>
      <c r="S370" s="28"/>
    </row>
    <row r="371" ht="15.75" customHeight="1">
      <c r="R371" s="28"/>
      <c r="S371" s="28"/>
    </row>
    <row r="372" ht="15.75" customHeight="1">
      <c r="R372" s="28"/>
      <c r="S372" s="28"/>
    </row>
    <row r="373" ht="15.75" customHeight="1">
      <c r="R373" s="28"/>
      <c r="S373" s="28"/>
    </row>
    <row r="374" ht="15.75" customHeight="1">
      <c r="R374" s="28"/>
      <c r="S374" s="28"/>
    </row>
    <row r="375" ht="15.75" customHeight="1">
      <c r="R375" s="28"/>
      <c r="S375" s="28"/>
    </row>
    <row r="376" ht="15.75" customHeight="1">
      <c r="R376" s="28"/>
      <c r="S376" s="28"/>
    </row>
    <row r="377" ht="15.75" customHeight="1">
      <c r="R377" s="28"/>
      <c r="S377" s="28"/>
    </row>
    <row r="378" ht="15.75" customHeight="1">
      <c r="R378" s="28"/>
      <c r="S378" s="28"/>
    </row>
    <row r="379" ht="15.75" customHeight="1">
      <c r="R379" s="28"/>
      <c r="S379" s="28"/>
    </row>
    <row r="380" ht="15.75" customHeight="1">
      <c r="R380" s="28"/>
      <c r="S380" s="28"/>
    </row>
    <row r="381" ht="15.75" customHeight="1">
      <c r="R381" s="28"/>
      <c r="S381" s="28"/>
    </row>
    <row r="382" ht="15.75" customHeight="1">
      <c r="R382" s="28"/>
      <c r="S382" s="28"/>
    </row>
    <row r="383" ht="15.75" customHeight="1">
      <c r="R383" s="28"/>
      <c r="S383" s="28"/>
    </row>
    <row r="384" ht="15.75" customHeight="1">
      <c r="R384" s="28"/>
      <c r="S384" s="28"/>
    </row>
    <row r="385" ht="15.75" customHeight="1">
      <c r="R385" s="28"/>
      <c r="S385" s="28"/>
    </row>
    <row r="386" ht="15.75" customHeight="1">
      <c r="R386" s="28"/>
      <c r="S386" s="28"/>
    </row>
    <row r="387" ht="15.75" customHeight="1">
      <c r="R387" s="28"/>
      <c r="S387" s="28"/>
    </row>
    <row r="388" ht="15.75" customHeight="1">
      <c r="R388" s="28"/>
      <c r="S388" s="28"/>
    </row>
    <row r="389" ht="15.75" customHeight="1">
      <c r="R389" s="28"/>
      <c r="S389" s="28"/>
    </row>
    <row r="390" ht="15.75" customHeight="1">
      <c r="R390" s="28"/>
      <c r="S390" s="28"/>
    </row>
    <row r="391" ht="15.75" customHeight="1">
      <c r="R391" s="28"/>
      <c r="S391" s="28"/>
    </row>
    <row r="392" ht="15.75" customHeight="1">
      <c r="R392" s="28"/>
      <c r="S392" s="28"/>
    </row>
    <row r="393" ht="15.75" customHeight="1">
      <c r="R393" s="28"/>
      <c r="S393" s="28"/>
    </row>
    <row r="394" ht="15.75" customHeight="1">
      <c r="R394" s="28"/>
      <c r="S394" s="28"/>
    </row>
    <row r="395" ht="15.75" customHeight="1">
      <c r="R395" s="28"/>
      <c r="S395" s="28"/>
    </row>
    <row r="396" ht="15.75" customHeight="1">
      <c r="R396" s="28"/>
      <c r="S396" s="28"/>
    </row>
    <row r="397" ht="15.75" customHeight="1">
      <c r="R397" s="28"/>
      <c r="S397" s="28"/>
    </row>
    <row r="398" ht="15.75" customHeight="1">
      <c r="R398" s="28"/>
      <c r="S398" s="28"/>
    </row>
    <row r="399" ht="15.75" customHeight="1">
      <c r="R399" s="28"/>
      <c r="S399" s="28"/>
    </row>
    <row r="400" ht="15.75" customHeight="1">
      <c r="R400" s="28"/>
      <c r="S400" s="28"/>
    </row>
    <row r="401" ht="15.75" customHeight="1">
      <c r="R401" s="28"/>
      <c r="S401" s="28"/>
    </row>
    <row r="402" ht="15.75" customHeight="1">
      <c r="R402" s="28"/>
      <c r="S402" s="28"/>
    </row>
    <row r="403" ht="15.75" customHeight="1">
      <c r="R403" s="28"/>
      <c r="S403" s="28"/>
    </row>
    <row r="404" ht="15.75" customHeight="1">
      <c r="R404" s="28"/>
      <c r="S404" s="28"/>
    </row>
    <row r="405" ht="15.75" customHeight="1">
      <c r="R405" s="28"/>
      <c r="S405" s="28"/>
    </row>
    <row r="406" ht="15.75" customHeight="1">
      <c r="R406" s="28"/>
      <c r="S406" s="28"/>
    </row>
    <row r="407" ht="15.75" customHeight="1">
      <c r="R407" s="28"/>
      <c r="S407" s="28"/>
    </row>
    <row r="408" ht="15.75" customHeight="1">
      <c r="R408" s="28"/>
      <c r="S408" s="28"/>
    </row>
    <row r="409" ht="15.75" customHeight="1">
      <c r="R409" s="28"/>
      <c r="S409" s="28"/>
    </row>
    <row r="410" ht="15.75" customHeight="1">
      <c r="R410" s="28"/>
      <c r="S410" s="28"/>
    </row>
    <row r="411" ht="15.75" customHeight="1">
      <c r="R411" s="28"/>
      <c r="S411" s="28"/>
    </row>
    <row r="412" ht="15.75" customHeight="1">
      <c r="R412" s="28"/>
      <c r="S412" s="28"/>
    </row>
    <row r="413" ht="15.75" customHeight="1">
      <c r="R413" s="28"/>
      <c r="S413" s="28"/>
    </row>
    <row r="414" ht="15.75" customHeight="1">
      <c r="R414" s="28"/>
      <c r="S414" s="28"/>
    </row>
    <row r="415" ht="15.75" customHeight="1">
      <c r="R415" s="28"/>
      <c r="S415" s="28"/>
    </row>
    <row r="416" ht="15.75" customHeight="1">
      <c r="R416" s="28"/>
      <c r="S416" s="28"/>
    </row>
    <row r="417" ht="15.75" customHeight="1">
      <c r="R417" s="28"/>
      <c r="S417" s="28"/>
    </row>
    <row r="418" ht="15.75" customHeight="1">
      <c r="R418" s="28"/>
      <c r="S418" s="28"/>
    </row>
    <row r="419" ht="15.75" customHeight="1">
      <c r="R419" s="28"/>
      <c r="S419" s="28"/>
    </row>
    <row r="420" ht="15.75" customHeight="1">
      <c r="R420" s="28"/>
      <c r="S420" s="28"/>
    </row>
    <row r="421" ht="15.75" customHeight="1">
      <c r="R421" s="28"/>
      <c r="S421" s="28"/>
    </row>
    <row r="422" ht="15.75" customHeight="1">
      <c r="R422" s="28"/>
      <c r="S422" s="28"/>
    </row>
    <row r="423" ht="15.75" customHeight="1">
      <c r="R423" s="28"/>
      <c r="S423" s="28"/>
    </row>
    <row r="424" ht="15.75" customHeight="1">
      <c r="R424" s="28"/>
      <c r="S424" s="28"/>
    </row>
    <row r="425" ht="15.75" customHeight="1">
      <c r="R425" s="28"/>
      <c r="S425" s="28"/>
    </row>
    <row r="426" ht="15.75" customHeight="1">
      <c r="R426" s="28"/>
      <c r="S426" s="28"/>
    </row>
    <row r="427" ht="15.75" customHeight="1">
      <c r="R427" s="28"/>
      <c r="S427" s="28"/>
    </row>
    <row r="428" ht="15.75" customHeight="1">
      <c r="R428" s="28"/>
      <c r="S428" s="28"/>
    </row>
    <row r="429" ht="15.75" customHeight="1">
      <c r="R429" s="28"/>
      <c r="S429" s="28"/>
    </row>
    <row r="430" ht="15.75" customHeight="1">
      <c r="R430" s="28"/>
      <c r="S430" s="28"/>
    </row>
    <row r="431" ht="15.75" customHeight="1">
      <c r="R431" s="28"/>
      <c r="S431" s="28"/>
    </row>
    <row r="432" ht="15.75" customHeight="1">
      <c r="R432" s="28"/>
      <c r="S432" s="28"/>
    </row>
    <row r="433" ht="15.75" customHeight="1">
      <c r="R433" s="28"/>
      <c r="S433" s="28"/>
    </row>
    <row r="434" ht="15.75" customHeight="1">
      <c r="R434" s="28"/>
      <c r="S434" s="28"/>
    </row>
    <row r="435" ht="15.75" customHeight="1">
      <c r="R435" s="28"/>
      <c r="S435" s="28"/>
    </row>
    <row r="436" ht="15.75" customHeight="1">
      <c r="R436" s="28"/>
      <c r="S436" s="28"/>
    </row>
    <row r="437" ht="15.75" customHeight="1">
      <c r="R437" s="28"/>
      <c r="S437" s="28"/>
    </row>
    <row r="438" ht="15.75" customHeight="1">
      <c r="R438" s="28"/>
      <c r="S438" s="28"/>
    </row>
    <row r="439" ht="15.75" customHeight="1">
      <c r="R439" s="28"/>
      <c r="S439" s="28"/>
    </row>
    <row r="440" ht="15.75" customHeight="1">
      <c r="R440" s="28"/>
      <c r="S440" s="28"/>
    </row>
    <row r="441" ht="15.75" customHeight="1">
      <c r="R441" s="28"/>
      <c r="S441" s="28"/>
    </row>
    <row r="442" ht="15.75" customHeight="1">
      <c r="R442" s="28"/>
      <c r="S442" s="28"/>
    </row>
    <row r="443" ht="15.75" customHeight="1">
      <c r="R443" s="28"/>
      <c r="S443" s="28"/>
    </row>
    <row r="444" ht="15.75" customHeight="1">
      <c r="R444" s="28"/>
      <c r="S444" s="28"/>
    </row>
    <row r="445" ht="15.75" customHeight="1">
      <c r="R445" s="28"/>
      <c r="S445" s="28"/>
    </row>
    <row r="446" ht="15.75" customHeight="1">
      <c r="R446" s="28"/>
      <c r="S446" s="28"/>
    </row>
    <row r="447" ht="15.75" customHeight="1">
      <c r="R447" s="28"/>
      <c r="S447" s="28"/>
    </row>
    <row r="448" ht="15.75" customHeight="1">
      <c r="R448" s="28"/>
      <c r="S448" s="28"/>
    </row>
    <row r="449" ht="15.75" customHeight="1">
      <c r="R449" s="28"/>
      <c r="S449" s="28"/>
    </row>
    <row r="450" ht="15.75" customHeight="1">
      <c r="R450" s="28"/>
      <c r="S450" s="28"/>
    </row>
    <row r="451" ht="15.75" customHeight="1">
      <c r="R451" s="28"/>
      <c r="S451" s="28"/>
    </row>
    <row r="452" ht="15.75" customHeight="1">
      <c r="R452" s="28"/>
      <c r="S452" s="28"/>
    </row>
    <row r="453" ht="15.75" customHeight="1">
      <c r="R453" s="28"/>
      <c r="S453" s="28"/>
    </row>
    <row r="454" ht="15.75" customHeight="1">
      <c r="R454" s="28"/>
      <c r="S454" s="28"/>
    </row>
    <row r="455" ht="15.75" customHeight="1">
      <c r="R455" s="28"/>
      <c r="S455" s="28"/>
    </row>
    <row r="456" ht="15.75" customHeight="1">
      <c r="R456" s="28"/>
      <c r="S456" s="28"/>
    </row>
    <row r="457" ht="15.75" customHeight="1">
      <c r="R457" s="28"/>
      <c r="S457" s="28"/>
    </row>
    <row r="458" ht="15.75" customHeight="1">
      <c r="R458" s="28"/>
      <c r="S458" s="28"/>
    </row>
    <row r="459" ht="15.75" customHeight="1">
      <c r="R459" s="28"/>
      <c r="S459" s="28"/>
    </row>
    <row r="460" ht="15.75" customHeight="1">
      <c r="R460" s="28"/>
      <c r="S460" s="28"/>
    </row>
    <row r="461" ht="15.75" customHeight="1">
      <c r="R461" s="28"/>
      <c r="S461" s="28"/>
    </row>
    <row r="462" ht="15.75" customHeight="1">
      <c r="R462" s="28"/>
      <c r="S462" s="28"/>
    </row>
    <row r="463" ht="15.75" customHeight="1">
      <c r="R463" s="28"/>
      <c r="S463" s="28"/>
    </row>
    <row r="464" ht="15.75" customHeight="1">
      <c r="R464" s="28"/>
      <c r="S464" s="28"/>
    </row>
    <row r="465" ht="15.75" customHeight="1">
      <c r="R465" s="28"/>
      <c r="S465" s="28"/>
    </row>
    <row r="466" ht="15.75" customHeight="1">
      <c r="R466" s="28"/>
      <c r="S466" s="28"/>
    </row>
    <row r="467" ht="15.75" customHeight="1">
      <c r="R467" s="28"/>
      <c r="S467" s="28"/>
    </row>
    <row r="468" ht="15.75" customHeight="1">
      <c r="R468" s="28"/>
      <c r="S468" s="28"/>
    </row>
    <row r="469" ht="15.75" customHeight="1">
      <c r="R469" s="28"/>
      <c r="S469" s="28"/>
    </row>
    <row r="470" ht="15.75" customHeight="1">
      <c r="R470" s="28"/>
      <c r="S470" s="28"/>
    </row>
    <row r="471" ht="15.75" customHeight="1">
      <c r="R471" s="28"/>
      <c r="S471" s="28"/>
    </row>
    <row r="472" ht="15.75" customHeight="1">
      <c r="R472" s="28"/>
      <c r="S472" s="28"/>
    </row>
    <row r="473" ht="15.75" customHeight="1">
      <c r="R473" s="28"/>
      <c r="S473" s="28"/>
    </row>
    <row r="474" ht="15.75" customHeight="1">
      <c r="R474" s="28"/>
      <c r="S474" s="28"/>
    </row>
    <row r="475" ht="15.75" customHeight="1">
      <c r="R475" s="28"/>
      <c r="S475" s="28"/>
    </row>
    <row r="476" ht="15.75" customHeight="1">
      <c r="R476" s="28"/>
      <c r="S476" s="28"/>
    </row>
    <row r="477" ht="15.75" customHeight="1">
      <c r="R477" s="28"/>
      <c r="S477" s="28"/>
    </row>
    <row r="478" ht="15.75" customHeight="1">
      <c r="R478" s="28"/>
      <c r="S478" s="28"/>
    </row>
    <row r="479" ht="15.75" customHeight="1">
      <c r="R479" s="28"/>
      <c r="S479" s="28"/>
    </row>
    <row r="480" ht="15.75" customHeight="1">
      <c r="R480" s="28"/>
      <c r="S480" s="28"/>
    </row>
    <row r="481" ht="15.75" customHeight="1">
      <c r="R481" s="28"/>
      <c r="S481" s="28"/>
    </row>
    <row r="482" ht="15.75" customHeight="1">
      <c r="R482" s="28"/>
      <c r="S482" s="28"/>
    </row>
    <row r="483" ht="15.75" customHeight="1">
      <c r="R483" s="28"/>
      <c r="S483" s="28"/>
    </row>
    <row r="484" ht="15.75" customHeight="1">
      <c r="R484" s="28"/>
      <c r="S484" s="28"/>
    </row>
    <row r="485" ht="15.75" customHeight="1">
      <c r="R485" s="28"/>
      <c r="S485" s="28"/>
    </row>
    <row r="486" ht="15.75" customHeight="1">
      <c r="R486" s="28"/>
      <c r="S486" s="28"/>
    </row>
    <row r="487" ht="15.75" customHeight="1">
      <c r="R487" s="28"/>
      <c r="S487" s="28"/>
    </row>
    <row r="488" ht="15.75" customHeight="1">
      <c r="R488" s="28"/>
      <c r="S488" s="28"/>
    </row>
    <row r="489" ht="15.75" customHeight="1">
      <c r="R489" s="28"/>
      <c r="S489" s="28"/>
    </row>
    <row r="490" ht="15.75" customHeight="1">
      <c r="R490" s="28"/>
      <c r="S490" s="28"/>
    </row>
    <row r="491" ht="15.75" customHeight="1">
      <c r="R491" s="28"/>
      <c r="S491" s="28"/>
    </row>
    <row r="492" ht="15.75" customHeight="1">
      <c r="R492" s="28"/>
      <c r="S492" s="28"/>
    </row>
    <row r="493" ht="15.75" customHeight="1">
      <c r="R493" s="28"/>
      <c r="S493" s="28"/>
    </row>
    <row r="494" ht="15.75" customHeight="1">
      <c r="R494" s="28"/>
      <c r="S494" s="28"/>
    </row>
    <row r="495" ht="15.75" customHeight="1">
      <c r="R495" s="28"/>
      <c r="S495" s="28"/>
    </row>
    <row r="496" ht="15.75" customHeight="1">
      <c r="R496" s="28"/>
      <c r="S496" s="28"/>
    </row>
    <row r="497" ht="15.75" customHeight="1">
      <c r="R497" s="28"/>
      <c r="S497" s="28"/>
    </row>
    <row r="498" ht="15.75" customHeight="1">
      <c r="R498" s="28"/>
      <c r="S498" s="28"/>
    </row>
    <row r="499" ht="15.75" customHeight="1">
      <c r="R499" s="28"/>
      <c r="S499" s="28"/>
    </row>
    <row r="500" ht="15.75" customHeight="1">
      <c r="R500" s="28"/>
      <c r="S500" s="28"/>
    </row>
    <row r="501" ht="15.75" customHeight="1">
      <c r="R501" s="28"/>
      <c r="S501" s="28"/>
    </row>
    <row r="502" ht="15.75" customHeight="1">
      <c r="R502" s="28"/>
      <c r="S502" s="28"/>
    </row>
    <row r="503" ht="15.75" customHeight="1">
      <c r="R503" s="28"/>
      <c r="S503" s="28"/>
    </row>
    <row r="504" ht="15.75" customHeight="1">
      <c r="R504" s="28"/>
      <c r="S504" s="28"/>
    </row>
    <row r="505" ht="15.75" customHeight="1">
      <c r="R505" s="28"/>
      <c r="S505" s="28"/>
    </row>
    <row r="506" ht="15.75" customHeight="1">
      <c r="R506" s="28"/>
      <c r="S506" s="28"/>
    </row>
    <row r="507" ht="15.75" customHeight="1">
      <c r="R507" s="28"/>
      <c r="S507" s="28"/>
    </row>
    <row r="508" ht="15.75" customHeight="1">
      <c r="R508" s="28"/>
      <c r="S508" s="28"/>
    </row>
    <row r="509" ht="15.75" customHeight="1">
      <c r="R509" s="28"/>
      <c r="S509" s="28"/>
    </row>
    <row r="510" ht="15.75" customHeight="1">
      <c r="R510" s="28"/>
      <c r="S510" s="28"/>
    </row>
    <row r="511" ht="15.75" customHeight="1">
      <c r="R511" s="28"/>
      <c r="S511" s="28"/>
    </row>
    <row r="512" ht="15.75" customHeight="1">
      <c r="R512" s="28"/>
      <c r="S512" s="28"/>
    </row>
    <row r="513" ht="15.75" customHeight="1">
      <c r="R513" s="28"/>
      <c r="S513" s="28"/>
    </row>
    <row r="514" ht="15.75" customHeight="1">
      <c r="R514" s="28"/>
      <c r="S514" s="28"/>
    </row>
    <row r="515" ht="15.75" customHeight="1">
      <c r="R515" s="28"/>
      <c r="S515" s="28"/>
    </row>
    <row r="516" ht="15.75" customHeight="1">
      <c r="R516" s="28"/>
      <c r="S516" s="28"/>
    </row>
    <row r="517" ht="15.75" customHeight="1">
      <c r="R517" s="28"/>
      <c r="S517" s="28"/>
    </row>
    <row r="518" ht="15.75" customHeight="1">
      <c r="R518" s="28"/>
      <c r="S518" s="28"/>
    </row>
    <row r="519" ht="15.75" customHeight="1">
      <c r="R519" s="28"/>
      <c r="S519" s="28"/>
    </row>
    <row r="520" ht="15.75" customHeight="1">
      <c r="R520" s="28"/>
      <c r="S520" s="28"/>
    </row>
    <row r="521" ht="15.75" customHeight="1">
      <c r="R521" s="28"/>
      <c r="S521" s="28"/>
    </row>
    <row r="522" ht="15.75" customHeight="1">
      <c r="R522" s="28"/>
      <c r="S522" s="28"/>
    </row>
    <row r="523" ht="15.75" customHeight="1">
      <c r="R523" s="28"/>
      <c r="S523" s="28"/>
    </row>
    <row r="524" ht="15.75" customHeight="1">
      <c r="R524" s="28"/>
      <c r="S524" s="28"/>
    </row>
    <row r="525" ht="15.75" customHeight="1">
      <c r="R525" s="28"/>
      <c r="S525" s="28"/>
    </row>
    <row r="526" ht="15.75" customHeight="1">
      <c r="R526" s="28"/>
      <c r="S526" s="28"/>
    </row>
    <row r="527" ht="15.75" customHeight="1">
      <c r="R527" s="28"/>
      <c r="S527" s="28"/>
    </row>
    <row r="528" ht="15.75" customHeight="1">
      <c r="R528" s="28"/>
      <c r="S528" s="28"/>
    </row>
    <row r="529" ht="15.75" customHeight="1">
      <c r="R529" s="28"/>
      <c r="S529" s="28"/>
    </row>
    <row r="530" ht="15.75" customHeight="1">
      <c r="R530" s="28"/>
      <c r="S530" s="28"/>
    </row>
    <row r="531" ht="15.75" customHeight="1">
      <c r="R531" s="28"/>
      <c r="S531" s="28"/>
    </row>
    <row r="532" ht="15.75" customHeight="1">
      <c r="R532" s="28"/>
      <c r="S532" s="28"/>
    </row>
    <row r="533" ht="15.75" customHeight="1">
      <c r="R533" s="28"/>
      <c r="S533" s="28"/>
    </row>
    <row r="534" ht="15.75" customHeight="1">
      <c r="R534" s="28"/>
      <c r="S534" s="28"/>
    </row>
    <row r="535" ht="15.75" customHeight="1">
      <c r="R535" s="28"/>
      <c r="S535" s="28"/>
    </row>
    <row r="536" ht="15.75" customHeight="1">
      <c r="R536" s="28"/>
      <c r="S536" s="28"/>
    </row>
    <row r="537" ht="15.75" customHeight="1">
      <c r="R537" s="28"/>
      <c r="S537" s="28"/>
    </row>
    <row r="538" ht="15.75" customHeight="1">
      <c r="R538" s="28"/>
      <c r="S538" s="28"/>
    </row>
    <row r="539" ht="15.75" customHeight="1">
      <c r="R539" s="28"/>
      <c r="S539" s="28"/>
    </row>
    <row r="540" ht="15.75" customHeight="1">
      <c r="R540" s="28"/>
      <c r="S540" s="28"/>
    </row>
    <row r="541" ht="15.75" customHeight="1">
      <c r="R541" s="28"/>
      <c r="S541" s="28"/>
    </row>
    <row r="542" ht="15.75" customHeight="1">
      <c r="R542" s="28"/>
      <c r="S542" s="28"/>
    </row>
    <row r="543" ht="15.75" customHeight="1">
      <c r="R543" s="28"/>
      <c r="S543" s="28"/>
    </row>
    <row r="544" ht="15.75" customHeight="1">
      <c r="R544" s="28"/>
      <c r="S544" s="28"/>
    </row>
    <row r="545" ht="15.75" customHeight="1">
      <c r="R545" s="28"/>
      <c r="S545" s="28"/>
    </row>
    <row r="546" ht="15.75" customHeight="1">
      <c r="R546" s="28"/>
      <c r="S546" s="28"/>
    </row>
    <row r="547" ht="15.75" customHeight="1">
      <c r="R547" s="28"/>
      <c r="S547" s="28"/>
    </row>
    <row r="548" ht="15.75" customHeight="1">
      <c r="R548" s="28"/>
      <c r="S548" s="28"/>
    </row>
    <row r="549" ht="15.75" customHeight="1">
      <c r="R549" s="28"/>
      <c r="S549" s="28"/>
    </row>
    <row r="550" ht="15.75" customHeight="1">
      <c r="R550" s="28"/>
      <c r="S550" s="28"/>
    </row>
    <row r="551" ht="15.75" customHeight="1">
      <c r="R551" s="28"/>
      <c r="S551" s="28"/>
    </row>
    <row r="552" ht="15.75" customHeight="1">
      <c r="R552" s="28"/>
      <c r="S552" s="28"/>
    </row>
    <row r="553" ht="15.75" customHeight="1">
      <c r="R553" s="28"/>
      <c r="S553" s="28"/>
    </row>
    <row r="554" ht="15.75" customHeight="1">
      <c r="R554" s="28"/>
      <c r="S554" s="28"/>
    </row>
    <row r="555" ht="15.75" customHeight="1">
      <c r="R555" s="28"/>
      <c r="S555" s="28"/>
    </row>
    <row r="556" ht="15.75" customHeight="1">
      <c r="R556" s="28"/>
      <c r="S556" s="28"/>
    </row>
    <row r="557" ht="15.75" customHeight="1">
      <c r="R557" s="28"/>
      <c r="S557" s="28"/>
    </row>
    <row r="558" ht="15.75" customHeight="1">
      <c r="R558" s="28"/>
      <c r="S558" s="28"/>
    </row>
    <row r="559" ht="15.75" customHeight="1">
      <c r="R559" s="28"/>
      <c r="S559" s="28"/>
    </row>
    <row r="560" ht="15.75" customHeight="1">
      <c r="R560" s="28"/>
      <c r="S560" s="28"/>
    </row>
    <row r="561" ht="15.75" customHeight="1">
      <c r="R561" s="28"/>
      <c r="S561" s="28"/>
    </row>
    <row r="562" ht="15.75" customHeight="1">
      <c r="R562" s="28"/>
      <c r="S562" s="28"/>
    </row>
    <row r="563" ht="15.75" customHeight="1">
      <c r="R563" s="28"/>
      <c r="S563" s="28"/>
    </row>
    <row r="564" ht="15.75" customHeight="1">
      <c r="R564" s="28"/>
      <c r="S564" s="28"/>
    </row>
    <row r="565" ht="15.75" customHeight="1">
      <c r="R565" s="28"/>
      <c r="S565" s="28"/>
    </row>
    <row r="566" ht="15.75" customHeight="1">
      <c r="R566" s="28"/>
      <c r="S566" s="28"/>
    </row>
    <row r="567" ht="15.75" customHeight="1">
      <c r="R567" s="28"/>
      <c r="S567" s="28"/>
    </row>
    <row r="568" ht="15.75" customHeight="1">
      <c r="R568" s="28"/>
      <c r="S568" s="28"/>
    </row>
    <row r="569" ht="15.75" customHeight="1">
      <c r="R569" s="28"/>
      <c r="S569" s="28"/>
    </row>
    <row r="570" ht="15.75" customHeight="1">
      <c r="R570" s="28"/>
      <c r="S570" s="28"/>
    </row>
    <row r="571" ht="15.75" customHeight="1">
      <c r="R571" s="28"/>
      <c r="S571" s="28"/>
    </row>
    <row r="572" ht="15.75" customHeight="1">
      <c r="R572" s="28"/>
      <c r="S572" s="28"/>
    </row>
    <row r="573" ht="15.75" customHeight="1">
      <c r="R573" s="28"/>
      <c r="S573" s="28"/>
    </row>
    <row r="574" ht="15.75" customHeight="1">
      <c r="R574" s="28"/>
      <c r="S574" s="28"/>
    </row>
    <row r="575" ht="15.75" customHeight="1">
      <c r="R575" s="28"/>
      <c r="S575" s="28"/>
    </row>
    <row r="576" ht="15.75" customHeight="1">
      <c r="R576" s="28"/>
      <c r="S576" s="28"/>
    </row>
    <row r="577" ht="15.75" customHeight="1">
      <c r="R577" s="28"/>
      <c r="S577" s="28"/>
    </row>
    <row r="578" ht="15.75" customHeight="1">
      <c r="R578" s="28"/>
      <c r="S578" s="28"/>
    </row>
    <row r="579" ht="15.75" customHeight="1">
      <c r="R579" s="28"/>
      <c r="S579" s="28"/>
    </row>
    <row r="580" ht="15.75" customHeight="1">
      <c r="R580" s="28"/>
      <c r="S580" s="28"/>
    </row>
    <row r="581" ht="15.75" customHeight="1">
      <c r="R581" s="28"/>
      <c r="S581" s="28"/>
    </row>
    <row r="582" ht="15.75" customHeight="1">
      <c r="R582" s="28"/>
      <c r="S582" s="28"/>
    </row>
    <row r="583" ht="15.75" customHeight="1">
      <c r="R583" s="28"/>
      <c r="S583" s="28"/>
    </row>
    <row r="584" ht="15.75" customHeight="1">
      <c r="R584" s="28"/>
      <c r="S584" s="28"/>
    </row>
    <row r="585" ht="15.75" customHeight="1">
      <c r="R585" s="28"/>
      <c r="S585" s="28"/>
    </row>
    <row r="586" ht="15.75" customHeight="1">
      <c r="R586" s="28"/>
      <c r="S586" s="28"/>
    </row>
    <row r="587" ht="15.75" customHeight="1">
      <c r="R587" s="28"/>
      <c r="S587" s="28"/>
    </row>
    <row r="588" ht="15.75" customHeight="1">
      <c r="R588" s="28"/>
      <c r="S588" s="28"/>
    </row>
    <row r="589" ht="15.75" customHeight="1">
      <c r="R589" s="28"/>
      <c r="S589" s="28"/>
    </row>
    <row r="590" ht="15.75" customHeight="1">
      <c r="R590" s="28"/>
      <c r="S590" s="28"/>
    </row>
    <row r="591" ht="15.75" customHeight="1">
      <c r="R591" s="28"/>
      <c r="S591" s="28"/>
    </row>
    <row r="592" ht="15.75" customHeight="1">
      <c r="R592" s="28"/>
      <c r="S592" s="28"/>
    </row>
    <row r="593" ht="15.75" customHeight="1">
      <c r="R593" s="28"/>
      <c r="S593" s="28"/>
    </row>
    <row r="594" ht="15.75" customHeight="1">
      <c r="R594" s="28"/>
      <c r="S594" s="28"/>
    </row>
    <row r="595" ht="15.75" customHeight="1">
      <c r="R595" s="28"/>
      <c r="S595" s="28"/>
    </row>
    <row r="596" ht="15.75" customHeight="1">
      <c r="R596" s="28"/>
      <c r="S596" s="28"/>
    </row>
    <row r="597" ht="15.75" customHeight="1">
      <c r="R597" s="28"/>
      <c r="S597" s="28"/>
    </row>
    <row r="598" ht="15.75" customHeight="1">
      <c r="R598" s="28"/>
      <c r="S598" s="28"/>
    </row>
    <row r="599" ht="15.75" customHeight="1">
      <c r="R599" s="28"/>
      <c r="S599" s="28"/>
    </row>
    <row r="600" ht="15.75" customHeight="1">
      <c r="R600" s="28"/>
      <c r="S600" s="28"/>
    </row>
    <row r="601" ht="15.75" customHeight="1">
      <c r="R601" s="28"/>
      <c r="S601" s="28"/>
    </row>
    <row r="602" ht="15.75" customHeight="1">
      <c r="R602" s="28"/>
      <c r="S602" s="28"/>
    </row>
    <row r="603" ht="15.75" customHeight="1">
      <c r="R603" s="28"/>
      <c r="S603" s="28"/>
    </row>
    <row r="604" ht="15.75" customHeight="1">
      <c r="R604" s="28"/>
      <c r="S604" s="28"/>
    </row>
    <row r="605" ht="15.75" customHeight="1">
      <c r="R605" s="28"/>
      <c r="S605" s="28"/>
    </row>
    <row r="606" ht="15.75" customHeight="1">
      <c r="R606" s="28"/>
      <c r="S606" s="28"/>
    </row>
    <row r="607" ht="15.75" customHeight="1">
      <c r="R607" s="28"/>
      <c r="S607" s="28"/>
    </row>
    <row r="608" ht="15.75" customHeight="1">
      <c r="R608" s="28"/>
      <c r="S608" s="28"/>
    </row>
    <row r="609" ht="15.75" customHeight="1">
      <c r="R609" s="28"/>
      <c r="S609" s="28"/>
    </row>
    <row r="610" ht="15.75" customHeight="1">
      <c r="R610" s="28"/>
      <c r="S610" s="28"/>
    </row>
    <row r="611" ht="15.75" customHeight="1">
      <c r="R611" s="28"/>
      <c r="S611" s="28"/>
    </row>
    <row r="612" ht="15.75" customHeight="1">
      <c r="R612" s="28"/>
      <c r="S612" s="28"/>
    </row>
    <row r="613" ht="15.75" customHeight="1">
      <c r="R613" s="28"/>
      <c r="S613" s="28"/>
    </row>
    <row r="614" ht="15.75" customHeight="1">
      <c r="R614" s="28"/>
      <c r="S614" s="28"/>
    </row>
    <row r="615" ht="15.75" customHeight="1">
      <c r="R615" s="28"/>
      <c r="S615" s="28"/>
    </row>
    <row r="616" ht="15.75" customHeight="1">
      <c r="R616" s="28"/>
      <c r="S616" s="28"/>
    </row>
    <row r="617" ht="15.75" customHeight="1">
      <c r="R617" s="28"/>
      <c r="S617" s="28"/>
    </row>
    <row r="618" ht="15.75" customHeight="1">
      <c r="R618" s="28"/>
      <c r="S618" s="28"/>
    </row>
    <row r="619" ht="15.75" customHeight="1">
      <c r="R619" s="28"/>
      <c r="S619" s="28"/>
    </row>
    <row r="620" ht="15.75" customHeight="1">
      <c r="R620" s="28"/>
      <c r="S620" s="28"/>
    </row>
    <row r="621" ht="15.75" customHeight="1">
      <c r="R621" s="28"/>
      <c r="S621" s="28"/>
    </row>
    <row r="622" ht="15.75" customHeight="1">
      <c r="R622" s="28"/>
      <c r="S622" s="28"/>
    </row>
    <row r="623" ht="15.75" customHeight="1">
      <c r="R623" s="28"/>
      <c r="S623" s="28"/>
    </row>
    <row r="624" ht="15.75" customHeight="1">
      <c r="R624" s="28"/>
      <c r="S624" s="28"/>
    </row>
    <row r="625" ht="15.75" customHeight="1">
      <c r="R625" s="28"/>
      <c r="S625" s="28"/>
    </row>
    <row r="626" ht="15.75" customHeight="1">
      <c r="R626" s="28"/>
      <c r="S626" s="28"/>
    </row>
    <row r="627" ht="15.75" customHeight="1">
      <c r="R627" s="28"/>
      <c r="S627" s="28"/>
    </row>
    <row r="628" ht="15.75" customHeight="1">
      <c r="R628" s="28"/>
      <c r="S628" s="28"/>
    </row>
    <row r="629" ht="15.75" customHeight="1">
      <c r="R629" s="28"/>
      <c r="S629" s="28"/>
    </row>
    <row r="630" ht="15.75" customHeight="1">
      <c r="R630" s="28"/>
      <c r="S630" s="28"/>
    </row>
    <row r="631" ht="15.75" customHeight="1">
      <c r="R631" s="28"/>
      <c r="S631" s="28"/>
    </row>
    <row r="632" ht="15.75" customHeight="1">
      <c r="R632" s="28"/>
      <c r="S632" s="28"/>
    </row>
    <row r="633" ht="15.75" customHeight="1">
      <c r="R633" s="28"/>
      <c r="S633" s="28"/>
    </row>
    <row r="634" ht="15.75" customHeight="1">
      <c r="R634" s="28"/>
      <c r="S634" s="28"/>
    </row>
    <row r="635" ht="15.75" customHeight="1">
      <c r="R635" s="28"/>
      <c r="S635" s="28"/>
    </row>
    <row r="636" ht="15.75" customHeight="1">
      <c r="R636" s="28"/>
      <c r="S636" s="28"/>
    </row>
    <row r="637" ht="15.75" customHeight="1">
      <c r="R637" s="28"/>
      <c r="S637" s="28"/>
    </row>
    <row r="638" ht="15.75" customHeight="1">
      <c r="R638" s="28"/>
      <c r="S638" s="28"/>
    </row>
    <row r="639" ht="15.75" customHeight="1">
      <c r="R639" s="28"/>
      <c r="S639" s="28"/>
    </row>
    <row r="640" ht="15.75" customHeight="1">
      <c r="R640" s="28"/>
      <c r="S640" s="28"/>
    </row>
    <row r="641" ht="15.75" customHeight="1">
      <c r="R641" s="28"/>
      <c r="S641" s="28"/>
    </row>
    <row r="642" ht="15.75" customHeight="1">
      <c r="R642" s="28"/>
      <c r="S642" s="28"/>
    </row>
    <row r="643" ht="15.75" customHeight="1">
      <c r="R643" s="28"/>
      <c r="S643" s="28"/>
    </row>
    <row r="644" ht="15.75" customHeight="1">
      <c r="R644" s="28"/>
      <c r="S644" s="28"/>
    </row>
    <row r="645" ht="15.75" customHeight="1">
      <c r="R645" s="28"/>
      <c r="S645" s="28"/>
    </row>
    <row r="646" ht="15.75" customHeight="1">
      <c r="R646" s="28"/>
      <c r="S646" s="28"/>
    </row>
    <row r="647" ht="15.75" customHeight="1">
      <c r="R647" s="28"/>
      <c r="S647" s="28"/>
    </row>
    <row r="648" ht="15.75" customHeight="1">
      <c r="R648" s="28"/>
      <c r="S648" s="28"/>
    </row>
    <row r="649" ht="15.75" customHeight="1">
      <c r="R649" s="28"/>
      <c r="S649" s="28"/>
    </row>
    <row r="650" ht="15.75" customHeight="1">
      <c r="R650" s="28"/>
      <c r="S650" s="28"/>
    </row>
    <row r="651" ht="15.75" customHeight="1">
      <c r="R651" s="28"/>
      <c r="S651" s="28"/>
    </row>
    <row r="652" ht="15.75" customHeight="1">
      <c r="R652" s="28"/>
      <c r="S652" s="28"/>
    </row>
    <row r="653" ht="15.75" customHeight="1">
      <c r="R653" s="28"/>
      <c r="S653" s="28"/>
    </row>
    <row r="654" ht="15.75" customHeight="1">
      <c r="R654" s="28"/>
      <c r="S654" s="28"/>
    </row>
    <row r="655" ht="15.75" customHeight="1">
      <c r="R655" s="28"/>
      <c r="S655" s="28"/>
    </row>
    <row r="656" ht="15.75" customHeight="1">
      <c r="R656" s="28"/>
      <c r="S656" s="28"/>
    </row>
    <row r="657" ht="15.75" customHeight="1">
      <c r="R657" s="28"/>
      <c r="S657" s="28"/>
    </row>
    <row r="658" ht="15.75" customHeight="1">
      <c r="R658" s="28"/>
      <c r="S658" s="28"/>
    </row>
    <row r="659" ht="15.75" customHeight="1">
      <c r="R659" s="28"/>
      <c r="S659" s="28"/>
    </row>
    <row r="660" ht="15.75" customHeight="1">
      <c r="R660" s="28"/>
      <c r="S660" s="28"/>
    </row>
    <row r="661" ht="15.75" customHeight="1">
      <c r="R661" s="28"/>
      <c r="S661" s="28"/>
    </row>
    <row r="662" ht="15.75" customHeight="1">
      <c r="R662" s="28"/>
      <c r="S662" s="28"/>
    </row>
    <row r="663" ht="15.75" customHeight="1">
      <c r="R663" s="28"/>
      <c r="S663" s="28"/>
    </row>
    <row r="664" ht="15.75" customHeight="1">
      <c r="R664" s="28"/>
      <c r="S664" s="28"/>
    </row>
    <row r="665" ht="15.75" customHeight="1">
      <c r="R665" s="28"/>
      <c r="S665" s="28"/>
    </row>
    <row r="666" ht="15.75" customHeight="1">
      <c r="R666" s="28"/>
      <c r="S666" s="28"/>
    </row>
    <row r="667" ht="15.75" customHeight="1">
      <c r="R667" s="28"/>
      <c r="S667" s="28"/>
    </row>
    <row r="668" ht="15.75" customHeight="1">
      <c r="R668" s="28"/>
      <c r="S668" s="28"/>
    </row>
    <row r="669" ht="15.75" customHeight="1">
      <c r="R669" s="28"/>
      <c r="S669" s="28"/>
    </row>
    <row r="670" ht="15.75" customHeight="1">
      <c r="R670" s="28"/>
      <c r="S670" s="28"/>
    </row>
    <row r="671" ht="15.75" customHeight="1">
      <c r="R671" s="28"/>
      <c r="S671" s="28"/>
    </row>
    <row r="672" ht="15.75" customHeight="1">
      <c r="R672" s="28"/>
      <c r="S672" s="28"/>
    </row>
    <row r="673" ht="15.75" customHeight="1">
      <c r="R673" s="28"/>
      <c r="S673" s="28"/>
    </row>
    <row r="674" ht="15.75" customHeight="1">
      <c r="R674" s="28"/>
      <c r="S674" s="28"/>
    </row>
    <row r="675" ht="15.75" customHeight="1">
      <c r="R675" s="28"/>
      <c r="S675" s="28"/>
    </row>
    <row r="676" ht="15.75" customHeight="1">
      <c r="R676" s="28"/>
      <c r="S676" s="28"/>
    </row>
    <row r="677" ht="15.75" customHeight="1">
      <c r="R677" s="28"/>
      <c r="S677" s="28"/>
    </row>
    <row r="678" ht="15.75" customHeight="1">
      <c r="R678" s="28"/>
      <c r="S678" s="28"/>
    </row>
    <row r="679" ht="15.75" customHeight="1">
      <c r="R679" s="28"/>
      <c r="S679" s="28"/>
    </row>
    <row r="680" ht="15.75" customHeight="1">
      <c r="R680" s="28"/>
      <c r="S680" s="28"/>
    </row>
    <row r="681" ht="15.75" customHeight="1">
      <c r="R681" s="28"/>
      <c r="S681" s="28"/>
    </row>
    <row r="682" ht="15.75" customHeight="1">
      <c r="R682" s="28"/>
      <c r="S682" s="28"/>
    </row>
    <row r="683" ht="15.75" customHeight="1">
      <c r="R683" s="28"/>
      <c r="S683" s="28"/>
    </row>
    <row r="684" ht="15.75" customHeight="1">
      <c r="R684" s="28"/>
      <c r="S684" s="28"/>
    </row>
    <row r="685" ht="15.75" customHeight="1">
      <c r="R685" s="28"/>
      <c r="S685" s="28"/>
    </row>
    <row r="686" ht="15.75" customHeight="1">
      <c r="R686" s="28"/>
      <c r="S686" s="28"/>
    </row>
    <row r="687" ht="15.75" customHeight="1">
      <c r="R687" s="28"/>
      <c r="S687" s="28"/>
    </row>
    <row r="688" ht="15.75" customHeight="1">
      <c r="R688" s="28"/>
      <c r="S688" s="28"/>
    </row>
    <row r="689" ht="15.75" customHeight="1">
      <c r="R689" s="28"/>
      <c r="S689" s="28"/>
    </row>
    <row r="690" ht="15.75" customHeight="1">
      <c r="R690" s="28"/>
      <c r="S690" s="28"/>
    </row>
    <row r="691" ht="15.75" customHeight="1">
      <c r="R691" s="28"/>
      <c r="S691" s="28"/>
    </row>
    <row r="692" ht="15.75" customHeight="1">
      <c r="R692" s="28"/>
      <c r="S692" s="28"/>
    </row>
    <row r="693" ht="15.75" customHeight="1">
      <c r="R693" s="28"/>
      <c r="S693" s="28"/>
    </row>
    <row r="694" ht="15.75" customHeight="1">
      <c r="R694" s="28"/>
      <c r="S694" s="28"/>
    </row>
    <row r="695" ht="15.75" customHeight="1">
      <c r="R695" s="28"/>
      <c r="S695" s="28"/>
    </row>
    <row r="696" ht="15.75" customHeight="1">
      <c r="R696" s="28"/>
      <c r="S696" s="28"/>
    </row>
    <row r="697" ht="15.75" customHeight="1">
      <c r="R697" s="28"/>
      <c r="S697" s="28"/>
    </row>
    <row r="698" ht="15.75" customHeight="1">
      <c r="R698" s="28"/>
      <c r="S698" s="28"/>
    </row>
    <row r="699" ht="15.75" customHeight="1">
      <c r="R699" s="28"/>
      <c r="S699" s="28"/>
    </row>
    <row r="700" ht="15.75" customHeight="1">
      <c r="R700" s="28"/>
      <c r="S700" s="28"/>
    </row>
    <row r="701" ht="15.75" customHeight="1">
      <c r="R701" s="28"/>
      <c r="S701" s="28"/>
    </row>
    <row r="702" ht="15.75" customHeight="1">
      <c r="R702" s="28"/>
      <c r="S702" s="28"/>
    </row>
    <row r="703" ht="15.75" customHeight="1">
      <c r="R703" s="28"/>
      <c r="S703" s="28"/>
    </row>
    <row r="704" ht="15.75" customHeight="1">
      <c r="R704" s="28"/>
      <c r="S704" s="28"/>
    </row>
    <row r="705" ht="15.75" customHeight="1">
      <c r="R705" s="28"/>
      <c r="S705" s="28"/>
    </row>
    <row r="706" ht="15.75" customHeight="1">
      <c r="R706" s="28"/>
      <c r="S706" s="28"/>
    </row>
    <row r="707" ht="15.75" customHeight="1">
      <c r="R707" s="28"/>
      <c r="S707" s="28"/>
    </row>
    <row r="708" ht="15.75" customHeight="1">
      <c r="R708" s="28"/>
      <c r="S708" s="28"/>
    </row>
    <row r="709" ht="15.75" customHeight="1">
      <c r="R709" s="28"/>
      <c r="S709" s="28"/>
    </row>
    <row r="710" ht="15.75" customHeight="1">
      <c r="R710" s="28"/>
      <c r="S710" s="28"/>
    </row>
    <row r="711" ht="15.75" customHeight="1">
      <c r="R711" s="28"/>
      <c r="S711" s="28"/>
    </row>
    <row r="712" ht="15.75" customHeight="1">
      <c r="R712" s="28"/>
      <c r="S712" s="28"/>
    </row>
    <row r="713" ht="15.75" customHeight="1">
      <c r="R713" s="28"/>
      <c r="S713" s="28"/>
    </row>
    <row r="714" ht="15.75" customHeight="1">
      <c r="R714" s="28"/>
      <c r="S714" s="28"/>
    </row>
    <row r="715" ht="15.75" customHeight="1">
      <c r="R715" s="28"/>
      <c r="S715" s="28"/>
    </row>
    <row r="716" ht="15.75" customHeight="1">
      <c r="R716" s="28"/>
      <c r="S716" s="28"/>
    </row>
    <row r="717" ht="15.75" customHeight="1">
      <c r="R717" s="28"/>
      <c r="S717" s="28"/>
    </row>
    <row r="718" ht="15.75" customHeight="1">
      <c r="R718" s="28"/>
      <c r="S718" s="28"/>
    </row>
    <row r="719" ht="15.75" customHeight="1">
      <c r="R719" s="28"/>
      <c r="S719" s="28"/>
    </row>
    <row r="720" ht="15.75" customHeight="1">
      <c r="R720" s="28"/>
      <c r="S720" s="28"/>
    </row>
    <row r="721" ht="15.75" customHeight="1">
      <c r="R721" s="28"/>
      <c r="S721" s="28"/>
    </row>
    <row r="722" ht="15.75" customHeight="1">
      <c r="R722" s="28"/>
      <c r="S722" s="28"/>
    </row>
    <row r="723" ht="15.75" customHeight="1">
      <c r="R723" s="28"/>
      <c r="S723" s="28"/>
    </row>
    <row r="724" ht="15.75" customHeight="1">
      <c r="R724" s="28"/>
      <c r="S724" s="28"/>
    </row>
    <row r="725" ht="15.75" customHeight="1">
      <c r="R725" s="28"/>
      <c r="S725" s="28"/>
    </row>
    <row r="726" ht="15.75" customHeight="1">
      <c r="R726" s="28"/>
      <c r="S726" s="28"/>
    </row>
    <row r="727" ht="15.75" customHeight="1">
      <c r="R727" s="28"/>
      <c r="S727" s="28"/>
    </row>
    <row r="728" ht="15.75" customHeight="1">
      <c r="R728" s="28"/>
      <c r="S728" s="28"/>
    </row>
    <row r="729" ht="15.75" customHeight="1">
      <c r="R729" s="28"/>
      <c r="S729" s="28"/>
    </row>
    <row r="730" ht="15.75" customHeight="1">
      <c r="R730" s="28"/>
      <c r="S730" s="28"/>
    </row>
    <row r="731" ht="15.75" customHeight="1">
      <c r="R731" s="28"/>
      <c r="S731" s="28"/>
    </row>
    <row r="732" ht="15.75" customHeight="1">
      <c r="R732" s="28"/>
      <c r="S732" s="28"/>
    </row>
    <row r="733" ht="15.75" customHeight="1">
      <c r="R733" s="28"/>
      <c r="S733" s="28"/>
    </row>
    <row r="734" ht="15.75" customHeight="1">
      <c r="R734" s="28"/>
      <c r="S734" s="28"/>
    </row>
    <row r="735" ht="15.75" customHeight="1">
      <c r="R735" s="28"/>
      <c r="S735" s="28"/>
    </row>
    <row r="736" ht="15.75" customHeight="1">
      <c r="R736" s="28"/>
      <c r="S736" s="28"/>
    </row>
    <row r="737" ht="15.75" customHeight="1">
      <c r="R737" s="28"/>
      <c r="S737" s="28"/>
    </row>
    <row r="738" ht="15.75" customHeight="1">
      <c r="R738" s="28"/>
      <c r="S738" s="28"/>
    </row>
    <row r="739" ht="15.75" customHeight="1">
      <c r="R739" s="28"/>
      <c r="S739" s="28"/>
    </row>
    <row r="740" ht="15.75" customHeight="1">
      <c r="R740" s="28"/>
      <c r="S740" s="28"/>
    </row>
    <row r="741" ht="15.75" customHeight="1">
      <c r="R741" s="28"/>
      <c r="S741" s="28"/>
    </row>
    <row r="742" ht="15.75" customHeight="1">
      <c r="R742" s="28"/>
      <c r="S742" s="28"/>
    </row>
    <row r="743" ht="15.75" customHeight="1">
      <c r="R743" s="28"/>
      <c r="S743" s="28"/>
    </row>
    <row r="744" ht="15.75" customHeight="1">
      <c r="R744" s="28"/>
      <c r="S744" s="28"/>
    </row>
    <row r="745" ht="15.75" customHeight="1">
      <c r="R745" s="28"/>
      <c r="S745" s="28"/>
    </row>
    <row r="746" ht="15.75" customHeight="1">
      <c r="R746" s="28"/>
      <c r="S746" s="28"/>
    </row>
    <row r="747" ht="15.75" customHeight="1">
      <c r="R747" s="28"/>
      <c r="S747" s="28"/>
    </row>
    <row r="748" ht="15.75" customHeight="1">
      <c r="R748" s="28"/>
      <c r="S748" s="28"/>
    </row>
    <row r="749" ht="15.75" customHeight="1">
      <c r="R749" s="28"/>
      <c r="S749" s="28"/>
    </row>
    <row r="750" ht="15.75" customHeight="1">
      <c r="R750" s="28"/>
      <c r="S750" s="28"/>
    </row>
    <row r="751" ht="15.75" customHeight="1">
      <c r="R751" s="28"/>
      <c r="S751" s="28"/>
    </row>
    <row r="752" ht="15.75" customHeight="1">
      <c r="R752" s="28"/>
      <c r="S752" s="28"/>
    </row>
    <row r="753" ht="15.75" customHeight="1">
      <c r="R753" s="28"/>
      <c r="S753" s="28"/>
    </row>
    <row r="754" ht="15.75" customHeight="1">
      <c r="R754" s="28"/>
      <c r="S754" s="28"/>
    </row>
    <row r="755" ht="15.75" customHeight="1">
      <c r="R755" s="28"/>
      <c r="S755" s="28"/>
    </row>
    <row r="756" ht="15.75" customHeight="1">
      <c r="R756" s="28"/>
      <c r="S756" s="28"/>
    </row>
    <row r="757" ht="15.75" customHeight="1">
      <c r="R757" s="28"/>
      <c r="S757" s="28"/>
    </row>
    <row r="758" ht="15.75" customHeight="1">
      <c r="R758" s="28"/>
      <c r="S758" s="28"/>
    </row>
    <row r="759" ht="15.75" customHeight="1">
      <c r="R759" s="28"/>
      <c r="S759" s="28"/>
    </row>
    <row r="760" ht="15.75" customHeight="1">
      <c r="R760" s="28"/>
      <c r="S760" s="28"/>
    </row>
    <row r="761" ht="15.75" customHeight="1">
      <c r="R761" s="28"/>
      <c r="S761" s="28"/>
    </row>
    <row r="762" ht="15.75" customHeight="1">
      <c r="R762" s="28"/>
      <c r="S762" s="28"/>
    </row>
    <row r="763" ht="15.75" customHeight="1">
      <c r="R763" s="28"/>
      <c r="S763" s="28"/>
    </row>
    <row r="764" ht="15.75" customHeight="1">
      <c r="R764" s="28"/>
      <c r="S764" s="28"/>
    </row>
    <row r="765" ht="15.75" customHeight="1">
      <c r="R765" s="28"/>
      <c r="S765" s="28"/>
    </row>
    <row r="766" ht="15.75" customHeight="1">
      <c r="R766" s="28"/>
      <c r="S766" s="28"/>
    </row>
    <row r="767" ht="15.75" customHeight="1">
      <c r="R767" s="28"/>
      <c r="S767" s="28"/>
    </row>
    <row r="768" ht="15.75" customHeight="1">
      <c r="R768" s="28"/>
      <c r="S768" s="28"/>
    </row>
    <row r="769" ht="15.75" customHeight="1">
      <c r="R769" s="28"/>
      <c r="S769" s="28"/>
    </row>
    <row r="770" ht="15.75" customHeight="1">
      <c r="R770" s="28"/>
      <c r="S770" s="28"/>
    </row>
    <row r="771" ht="15.75" customHeight="1">
      <c r="R771" s="28"/>
      <c r="S771" s="28"/>
    </row>
    <row r="772" ht="15.75" customHeight="1">
      <c r="R772" s="28"/>
      <c r="S772" s="28"/>
    </row>
    <row r="773" ht="15.75" customHeight="1">
      <c r="R773" s="28"/>
      <c r="S773" s="28"/>
    </row>
    <row r="774" ht="15.75" customHeight="1">
      <c r="R774" s="28"/>
      <c r="S774" s="28"/>
    </row>
    <row r="775" ht="15.75" customHeight="1">
      <c r="R775" s="28"/>
      <c r="S775" s="28"/>
    </row>
    <row r="776" ht="15.75" customHeight="1">
      <c r="R776" s="28"/>
      <c r="S776" s="28"/>
    </row>
    <row r="777" ht="15.75" customHeight="1">
      <c r="R777" s="28"/>
      <c r="S777" s="28"/>
    </row>
    <row r="778" ht="15.75" customHeight="1">
      <c r="R778" s="28"/>
      <c r="S778" s="28"/>
    </row>
    <row r="779" ht="15.75" customHeight="1">
      <c r="R779" s="28"/>
      <c r="S779" s="28"/>
    </row>
    <row r="780" ht="15.75" customHeight="1">
      <c r="R780" s="28"/>
      <c r="S780" s="28"/>
    </row>
    <row r="781" ht="15.75" customHeight="1">
      <c r="R781" s="28"/>
      <c r="S781" s="28"/>
    </row>
    <row r="782" ht="15.75" customHeight="1">
      <c r="R782" s="28"/>
      <c r="S782" s="28"/>
    </row>
    <row r="783" ht="15.75" customHeight="1">
      <c r="R783" s="28"/>
      <c r="S783" s="28"/>
    </row>
    <row r="784" ht="15.75" customHeight="1">
      <c r="R784" s="28"/>
      <c r="S784" s="28"/>
    </row>
    <row r="785" ht="15.75" customHeight="1">
      <c r="R785" s="28"/>
      <c r="S785" s="28"/>
    </row>
    <row r="786" ht="15.75" customHeight="1">
      <c r="R786" s="28"/>
      <c r="S786" s="28"/>
    </row>
    <row r="787" ht="15.75" customHeight="1">
      <c r="R787" s="28"/>
      <c r="S787" s="28"/>
    </row>
    <row r="788" ht="15.75" customHeight="1">
      <c r="R788" s="28"/>
      <c r="S788" s="28"/>
    </row>
    <row r="789" ht="15.75" customHeight="1">
      <c r="R789" s="28"/>
      <c r="S789" s="28"/>
    </row>
    <row r="790" ht="15.75" customHeight="1">
      <c r="R790" s="28"/>
      <c r="S790" s="28"/>
    </row>
    <row r="791" ht="15.75" customHeight="1">
      <c r="R791" s="28"/>
      <c r="S791" s="28"/>
    </row>
    <row r="792" ht="15.75" customHeight="1">
      <c r="R792" s="28"/>
      <c r="S792" s="28"/>
    </row>
    <row r="793" ht="15.75" customHeight="1">
      <c r="R793" s="28"/>
      <c r="S793" s="28"/>
    </row>
    <row r="794" ht="15.75" customHeight="1">
      <c r="R794" s="28"/>
      <c r="S794" s="28"/>
    </row>
    <row r="795" ht="15.75" customHeight="1">
      <c r="R795" s="28"/>
      <c r="S795" s="28"/>
    </row>
    <row r="796" ht="15.75" customHeight="1">
      <c r="R796" s="28"/>
      <c r="S796" s="28"/>
    </row>
    <row r="797" ht="15.75" customHeight="1">
      <c r="R797" s="28"/>
      <c r="S797" s="28"/>
    </row>
    <row r="798" ht="15.75" customHeight="1">
      <c r="R798" s="28"/>
      <c r="S798" s="28"/>
    </row>
    <row r="799" ht="15.75" customHeight="1">
      <c r="R799" s="28"/>
      <c r="S799" s="28"/>
    </row>
    <row r="800" ht="15.75" customHeight="1">
      <c r="R800" s="28"/>
      <c r="S800" s="28"/>
    </row>
    <row r="801" ht="15.75" customHeight="1">
      <c r="R801" s="28"/>
      <c r="S801" s="28"/>
    </row>
    <row r="802" ht="15.75" customHeight="1">
      <c r="R802" s="28"/>
      <c r="S802" s="28"/>
    </row>
    <row r="803" ht="15.75" customHeight="1">
      <c r="R803" s="28"/>
      <c r="S803" s="28"/>
    </row>
    <row r="804" ht="15.75" customHeight="1">
      <c r="R804" s="28"/>
      <c r="S804" s="28"/>
    </row>
    <row r="805" ht="15.75" customHeight="1">
      <c r="R805" s="28"/>
      <c r="S805" s="28"/>
    </row>
    <row r="806" ht="15.75" customHeight="1">
      <c r="R806" s="28"/>
      <c r="S806" s="28"/>
    </row>
    <row r="807" ht="15.75" customHeight="1">
      <c r="R807" s="28"/>
      <c r="S807" s="28"/>
    </row>
    <row r="808" ht="15.75" customHeight="1">
      <c r="R808" s="28"/>
      <c r="S808" s="28"/>
    </row>
    <row r="809" ht="15.75" customHeight="1">
      <c r="R809" s="28"/>
      <c r="S809" s="28"/>
    </row>
    <row r="810" ht="15.75" customHeight="1">
      <c r="R810" s="28"/>
      <c r="S810" s="28"/>
    </row>
    <row r="811" ht="15.75" customHeight="1">
      <c r="R811" s="28"/>
      <c r="S811" s="28"/>
    </row>
    <row r="812" ht="15.75" customHeight="1">
      <c r="R812" s="28"/>
      <c r="S812" s="28"/>
    </row>
    <row r="813" ht="15.75" customHeight="1">
      <c r="R813" s="28"/>
      <c r="S813" s="28"/>
    </row>
    <row r="814" ht="15.75" customHeight="1">
      <c r="R814" s="28"/>
      <c r="S814" s="28"/>
    </row>
    <row r="815" ht="15.75" customHeight="1">
      <c r="R815" s="28"/>
      <c r="S815" s="28"/>
    </row>
    <row r="816" ht="15.75" customHeight="1">
      <c r="R816" s="28"/>
      <c r="S816" s="28"/>
    </row>
    <row r="817" ht="15.75" customHeight="1">
      <c r="R817" s="28"/>
      <c r="S817" s="28"/>
    </row>
    <row r="818" ht="15.75" customHeight="1">
      <c r="R818" s="28"/>
      <c r="S818" s="28"/>
    </row>
    <row r="819" ht="15.75" customHeight="1">
      <c r="R819" s="28"/>
      <c r="S819" s="28"/>
    </row>
    <row r="820" ht="15.75" customHeight="1">
      <c r="R820" s="28"/>
      <c r="S820" s="28"/>
    </row>
    <row r="821" ht="15.75" customHeight="1">
      <c r="R821" s="28"/>
      <c r="S821" s="28"/>
    </row>
    <row r="822" ht="15.75" customHeight="1">
      <c r="R822" s="28"/>
      <c r="S822" s="28"/>
    </row>
    <row r="823" ht="15.75" customHeight="1">
      <c r="R823" s="28"/>
      <c r="S823" s="28"/>
    </row>
    <row r="824" ht="15.75" customHeight="1">
      <c r="R824" s="28"/>
      <c r="S824" s="28"/>
    </row>
    <row r="825" ht="15.75" customHeight="1">
      <c r="R825" s="28"/>
      <c r="S825" s="28"/>
    </row>
    <row r="826" ht="15.75" customHeight="1">
      <c r="R826" s="28"/>
      <c r="S826" s="28"/>
    </row>
    <row r="827" ht="15.75" customHeight="1">
      <c r="R827" s="28"/>
      <c r="S827" s="28"/>
    </row>
    <row r="828" ht="15.75" customHeight="1">
      <c r="R828" s="28"/>
      <c r="S828" s="28"/>
    </row>
    <row r="829" ht="15.75" customHeight="1">
      <c r="R829" s="28"/>
      <c r="S829" s="28"/>
    </row>
    <row r="830" ht="15.75" customHeight="1">
      <c r="R830" s="28"/>
      <c r="S830" s="28"/>
    </row>
    <row r="831" ht="15.75" customHeight="1">
      <c r="R831" s="28"/>
      <c r="S831" s="28"/>
    </row>
    <row r="832" ht="15.75" customHeight="1">
      <c r="R832" s="28"/>
      <c r="S832" s="28"/>
    </row>
    <row r="833" ht="15.75" customHeight="1">
      <c r="R833" s="28"/>
      <c r="S833" s="28"/>
    </row>
    <row r="834" ht="15.75" customHeight="1">
      <c r="R834" s="28"/>
      <c r="S834" s="28"/>
    </row>
    <row r="835" ht="15.75" customHeight="1">
      <c r="R835" s="28"/>
      <c r="S835" s="28"/>
    </row>
    <row r="836" ht="15.75" customHeight="1">
      <c r="R836" s="28"/>
      <c r="S836" s="28"/>
    </row>
    <row r="837" ht="15.75" customHeight="1">
      <c r="R837" s="28"/>
      <c r="S837" s="28"/>
    </row>
    <row r="838" ht="15.75" customHeight="1">
      <c r="R838" s="28"/>
      <c r="S838" s="28"/>
    </row>
    <row r="839" ht="15.75" customHeight="1">
      <c r="R839" s="28"/>
      <c r="S839" s="28"/>
    </row>
    <row r="840" ht="15.75" customHeight="1">
      <c r="R840" s="28"/>
      <c r="S840" s="28"/>
    </row>
    <row r="841" ht="15.75" customHeight="1">
      <c r="R841" s="28"/>
      <c r="S841" s="28"/>
    </row>
    <row r="842" ht="15.75" customHeight="1">
      <c r="R842" s="28"/>
      <c r="S842" s="28"/>
    </row>
    <row r="843" ht="15.75" customHeight="1">
      <c r="R843" s="28"/>
      <c r="S843" s="28"/>
    </row>
    <row r="844" ht="15.75" customHeight="1">
      <c r="R844" s="28"/>
      <c r="S844" s="28"/>
    </row>
    <row r="845" ht="15.75" customHeight="1">
      <c r="R845" s="28"/>
      <c r="S845" s="28"/>
    </row>
    <row r="846" ht="15.75" customHeight="1">
      <c r="R846" s="28"/>
      <c r="S846" s="28"/>
    </row>
    <row r="847" ht="15.75" customHeight="1">
      <c r="R847" s="28"/>
      <c r="S847" s="28"/>
    </row>
    <row r="848" ht="15.75" customHeight="1">
      <c r="R848" s="28"/>
      <c r="S848" s="28"/>
    </row>
    <row r="849" ht="15.75" customHeight="1">
      <c r="R849" s="28"/>
      <c r="S849" s="28"/>
    </row>
    <row r="850" ht="15.75" customHeight="1">
      <c r="R850" s="28"/>
      <c r="S850" s="28"/>
    </row>
    <row r="851" ht="15.75" customHeight="1">
      <c r="R851" s="28"/>
      <c r="S851" s="28"/>
    </row>
    <row r="852" ht="15.75" customHeight="1">
      <c r="R852" s="28"/>
      <c r="S852" s="28"/>
    </row>
    <row r="853" ht="15.75" customHeight="1">
      <c r="R853" s="28"/>
      <c r="S853" s="28"/>
    </row>
    <row r="854" ht="15.75" customHeight="1">
      <c r="R854" s="28"/>
      <c r="S854" s="28"/>
    </row>
    <row r="855" ht="15.75" customHeight="1">
      <c r="R855" s="28"/>
      <c r="S855" s="28"/>
    </row>
    <row r="856" ht="15.75" customHeight="1">
      <c r="R856" s="28"/>
      <c r="S856" s="28"/>
    </row>
    <row r="857" ht="15.75" customHeight="1">
      <c r="R857" s="28"/>
      <c r="S857" s="28"/>
    </row>
    <row r="858" ht="15.75" customHeight="1">
      <c r="R858" s="28"/>
      <c r="S858" s="28"/>
    </row>
    <row r="859" ht="15.75" customHeight="1">
      <c r="R859" s="28"/>
      <c r="S859" s="28"/>
    </row>
    <row r="860" ht="15.75" customHeight="1">
      <c r="R860" s="28"/>
      <c r="S860" s="28"/>
    </row>
    <row r="861" ht="15.75" customHeight="1">
      <c r="R861" s="28"/>
      <c r="S861" s="28"/>
    </row>
    <row r="862" ht="15.75" customHeight="1">
      <c r="R862" s="28"/>
      <c r="S862" s="28"/>
    </row>
    <row r="863" ht="15.75" customHeight="1">
      <c r="R863" s="28"/>
      <c r="S863" s="28"/>
    </row>
    <row r="864" ht="15.75" customHeight="1">
      <c r="R864" s="28"/>
      <c r="S864" s="28"/>
    </row>
    <row r="865" ht="15.75" customHeight="1">
      <c r="R865" s="28"/>
      <c r="S865" s="28"/>
    </row>
    <row r="866" ht="15.75" customHeight="1">
      <c r="R866" s="28"/>
      <c r="S866" s="28"/>
    </row>
    <row r="867" ht="15.75" customHeight="1">
      <c r="R867" s="28"/>
      <c r="S867" s="28"/>
    </row>
    <row r="868" ht="15.75" customHeight="1">
      <c r="R868" s="28"/>
      <c r="S868" s="28"/>
    </row>
    <row r="869" ht="15.75" customHeight="1">
      <c r="R869" s="28"/>
      <c r="S869" s="28"/>
    </row>
    <row r="870" ht="15.75" customHeight="1">
      <c r="R870" s="28"/>
      <c r="S870" s="28"/>
    </row>
    <row r="871" ht="15.75" customHeight="1">
      <c r="R871" s="28"/>
      <c r="S871" s="28"/>
    </row>
    <row r="872" ht="15.75" customHeight="1">
      <c r="R872" s="28"/>
      <c r="S872" s="28"/>
    </row>
    <row r="873" ht="15.75" customHeight="1">
      <c r="R873" s="28"/>
      <c r="S873" s="28"/>
    </row>
    <row r="874" ht="15.75" customHeight="1">
      <c r="R874" s="28"/>
      <c r="S874" s="28"/>
    </row>
    <row r="875" ht="15.75" customHeight="1">
      <c r="R875" s="28"/>
      <c r="S875" s="28"/>
    </row>
    <row r="876" ht="15.75" customHeight="1">
      <c r="R876" s="28"/>
      <c r="S876" s="28"/>
    </row>
    <row r="877" ht="15.75" customHeight="1">
      <c r="R877" s="28"/>
      <c r="S877" s="28"/>
    </row>
    <row r="878" ht="15.75" customHeight="1">
      <c r="R878" s="28"/>
      <c r="S878" s="28"/>
    </row>
    <row r="879" ht="15.75" customHeight="1">
      <c r="R879" s="28"/>
      <c r="S879" s="28"/>
    </row>
    <row r="880" ht="15.75" customHeight="1">
      <c r="R880" s="28"/>
      <c r="S880" s="28"/>
    </row>
    <row r="881" ht="15.75" customHeight="1">
      <c r="R881" s="28"/>
      <c r="S881" s="28"/>
    </row>
    <row r="882" ht="15.75" customHeight="1">
      <c r="R882" s="28"/>
      <c r="S882" s="28"/>
    </row>
    <row r="883" ht="15.75" customHeight="1">
      <c r="R883" s="28"/>
      <c r="S883" s="28"/>
    </row>
    <row r="884" ht="15.75" customHeight="1">
      <c r="R884" s="28"/>
      <c r="S884" s="28"/>
    </row>
    <row r="885" ht="15.75" customHeight="1">
      <c r="R885" s="28"/>
      <c r="S885" s="28"/>
    </row>
    <row r="886" ht="15.75" customHeight="1">
      <c r="R886" s="28"/>
      <c r="S886" s="28"/>
    </row>
    <row r="887" ht="15.75" customHeight="1">
      <c r="R887" s="28"/>
      <c r="S887" s="28"/>
    </row>
    <row r="888" ht="15.75" customHeight="1">
      <c r="R888" s="28"/>
      <c r="S888" s="28"/>
    </row>
    <row r="889" ht="15.75" customHeight="1">
      <c r="R889" s="28"/>
      <c r="S889" s="28"/>
    </row>
    <row r="890" ht="15.75" customHeight="1">
      <c r="R890" s="28"/>
      <c r="S890" s="28"/>
    </row>
    <row r="891" ht="15.75" customHeight="1">
      <c r="R891" s="28"/>
      <c r="S891" s="28"/>
    </row>
    <row r="892" ht="15.75" customHeight="1">
      <c r="R892" s="28"/>
      <c r="S892" s="28"/>
    </row>
    <row r="893" ht="15.75" customHeight="1">
      <c r="R893" s="28"/>
      <c r="S893" s="28"/>
    </row>
    <row r="894" ht="15.75" customHeight="1">
      <c r="R894" s="28"/>
      <c r="S894" s="28"/>
    </row>
    <row r="895" ht="15.75" customHeight="1">
      <c r="R895" s="28"/>
      <c r="S895" s="28"/>
    </row>
    <row r="896" ht="15.75" customHeight="1">
      <c r="R896" s="28"/>
      <c r="S896" s="28"/>
    </row>
    <row r="897" ht="15.75" customHeight="1">
      <c r="R897" s="28"/>
      <c r="S897" s="28"/>
    </row>
    <row r="898" ht="15.75" customHeight="1">
      <c r="R898" s="28"/>
      <c r="S898" s="28"/>
    </row>
    <row r="899" ht="15.75" customHeight="1">
      <c r="R899" s="28"/>
      <c r="S899" s="28"/>
    </row>
    <row r="900" ht="15.75" customHeight="1">
      <c r="R900" s="28"/>
      <c r="S900" s="28"/>
    </row>
    <row r="901" ht="15.75" customHeight="1">
      <c r="R901" s="28"/>
      <c r="S901" s="28"/>
    </row>
    <row r="902" ht="15.75" customHeight="1">
      <c r="R902" s="28"/>
      <c r="S902" s="28"/>
    </row>
    <row r="903" ht="15.75" customHeight="1">
      <c r="R903" s="28"/>
      <c r="S903" s="28"/>
    </row>
    <row r="904" ht="15.75" customHeight="1">
      <c r="R904" s="28"/>
      <c r="S904" s="28"/>
    </row>
    <row r="905" ht="15.75" customHeight="1">
      <c r="R905" s="28"/>
      <c r="S905" s="28"/>
    </row>
    <row r="906" ht="15.75" customHeight="1">
      <c r="R906" s="28"/>
      <c r="S906" s="28"/>
    </row>
    <row r="907" ht="15.75" customHeight="1">
      <c r="R907" s="28"/>
      <c r="S907" s="28"/>
    </row>
    <row r="908" ht="15.75" customHeight="1">
      <c r="R908" s="28"/>
      <c r="S908" s="28"/>
    </row>
    <row r="909" ht="15.75" customHeight="1">
      <c r="R909" s="28"/>
      <c r="S909" s="28"/>
    </row>
    <row r="910" ht="15.75" customHeight="1">
      <c r="R910" s="28"/>
      <c r="S910" s="28"/>
    </row>
    <row r="911" ht="15.75" customHeight="1">
      <c r="R911" s="28"/>
      <c r="S911" s="28"/>
    </row>
    <row r="912" ht="15.75" customHeight="1">
      <c r="R912" s="28"/>
      <c r="S912" s="28"/>
    </row>
    <row r="913" ht="15.75" customHeight="1">
      <c r="R913" s="28"/>
      <c r="S913" s="28"/>
    </row>
    <row r="914" ht="15.75" customHeight="1">
      <c r="R914" s="28"/>
      <c r="S914" s="28"/>
    </row>
    <row r="915" ht="15.75" customHeight="1">
      <c r="R915" s="28"/>
      <c r="S915" s="28"/>
    </row>
    <row r="916" ht="15.75" customHeight="1">
      <c r="R916" s="28"/>
      <c r="S916" s="28"/>
    </row>
    <row r="917" ht="15.75" customHeight="1">
      <c r="R917" s="28"/>
      <c r="S917" s="28"/>
    </row>
    <row r="918" ht="15.75" customHeight="1">
      <c r="R918" s="28"/>
      <c r="S918" s="28"/>
    </row>
    <row r="919" ht="15.75" customHeight="1">
      <c r="R919" s="28"/>
      <c r="S919" s="28"/>
    </row>
    <row r="920" ht="15.75" customHeight="1">
      <c r="R920" s="28"/>
      <c r="S920" s="28"/>
    </row>
    <row r="921" ht="15.75" customHeight="1">
      <c r="R921" s="28"/>
      <c r="S921" s="28"/>
    </row>
    <row r="922" ht="15.75" customHeight="1">
      <c r="R922" s="28"/>
      <c r="S922" s="28"/>
    </row>
    <row r="923" ht="15.75" customHeight="1">
      <c r="R923" s="28"/>
      <c r="S923" s="28"/>
    </row>
    <row r="924" ht="15.75" customHeight="1">
      <c r="R924" s="28"/>
      <c r="S924" s="28"/>
    </row>
    <row r="925" ht="15.75" customHeight="1">
      <c r="R925" s="28"/>
      <c r="S925" s="28"/>
    </row>
    <row r="926" ht="15.75" customHeight="1">
      <c r="R926" s="28"/>
      <c r="S926" s="28"/>
    </row>
    <row r="927" ht="15.75" customHeight="1">
      <c r="R927" s="28"/>
      <c r="S927" s="28"/>
    </row>
    <row r="928" ht="15.75" customHeight="1">
      <c r="R928" s="28"/>
      <c r="S928" s="28"/>
    </row>
    <row r="929" ht="15.75" customHeight="1">
      <c r="R929" s="28"/>
      <c r="S929" s="28"/>
    </row>
    <row r="930" ht="15.75" customHeight="1">
      <c r="R930" s="28"/>
      <c r="S930" s="28"/>
    </row>
    <row r="931" ht="15.75" customHeight="1">
      <c r="R931" s="28"/>
      <c r="S931" s="28"/>
    </row>
    <row r="932" ht="15.75" customHeight="1">
      <c r="R932" s="28"/>
      <c r="S932" s="28"/>
    </row>
    <row r="933" ht="15.75" customHeight="1">
      <c r="R933" s="28"/>
      <c r="S933" s="28"/>
    </row>
    <row r="934" ht="15.75" customHeight="1">
      <c r="R934" s="28"/>
      <c r="S934" s="28"/>
    </row>
    <row r="935" ht="15.75" customHeight="1">
      <c r="R935" s="28"/>
      <c r="S935" s="28"/>
    </row>
    <row r="936" ht="15.75" customHeight="1">
      <c r="R936" s="28"/>
      <c r="S936" s="28"/>
    </row>
    <row r="937" ht="15.75" customHeight="1">
      <c r="R937" s="28"/>
      <c r="S937" s="28"/>
    </row>
    <row r="938" ht="15.75" customHeight="1">
      <c r="R938" s="28"/>
      <c r="S938" s="28"/>
    </row>
    <row r="939" ht="15.75" customHeight="1">
      <c r="R939" s="28"/>
      <c r="S939" s="28"/>
    </row>
    <row r="940" ht="15.75" customHeight="1">
      <c r="R940" s="28"/>
      <c r="S940" s="28"/>
    </row>
    <row r="941" ht="15.75" customHeight="1">
      <c r="R941" s="28"/>
      <c r="S941" s="28"/>
    </row>
    <row r="942" ht="15.75" customHeight="1">
      <c r="R942" s="28"/>
      <c r="S942" s="28"/>
    </row>
    <row r="943" ht="15.75" customHeight="1">
      <c r="R943" s="28"/>
      <c r="S943" s="28"/>
    </row>
    <row r="944" ht="15.75" customHeight="1">
      <c r="R944" s="28"/>
      <c r="S944" s="28"/>
    </row>
    <row r="945" ht="15.75" customHeight="1">
      <c r="R945" s="28"/>
      <c r="S945" s="28"/>
    </row>
    <row r="946" ht="15.75" customHeight="1">
      <c r="R946" s="28"/>
      <c r="S946" s="28"/>
    </row>
    <row r="947" ht="15.75" customHeight="1">
      <c r="R947" s="28"/>
      <c r="S947" s="28"/>
    </row>
    <row r="948" ht="15.75" customHeight="1">
      <c r="R948" s="28"/>
      <c r="S948" s="28"/>
    </row>
    <row r="949" ht="15.75" customHeight="1">
      <c r="R949" s="28"/>
      <c r="S949" s="28"/>
    </row>
    <row r="950" ht="15.75" customHeight="1">
      <c r="R950" s="28"/>
      <c r="S950" s="28"/>
    </row>
    <row r="951" ht="15.75" customHeight="1">
      <c r="R951" s="28"/>
      <c r="S951" s="28"/>
    </row>
    <row r="952" ht="15.75" customHeight="1">
      <c r="R952" s="28"/>
      <c r="S952" s="28"/>
    </row>
    <row r="953" ht="15.75" customHeight="1">
      <c r="R953" s="28"/>
      <c r="S953" s="28"/>
    </row>
    <row r="954" ht="15.75" customHeight="1">
      <c r="R954" s="28"/>
      <c r="S954" s="28"/>
    </row>
    <row r="955" ht="15.75" customHeight="1">
      <c r="R955" s="28"/>
      <c r="S955" s="28"/>
    </row>
    <row r="956" ht="15.75" customHeight="1">
      <c r="R956" s="28"/>
      <c r="S956" s="28"/>
    </row>
    <row r="957" ht="15.75" customHeight="1">
      <c r="R957" s="28"/>
      <c r="S957" s="28"/>
    </row>
    <row r="958" ht="15.75" customHeight="1">
      <c r="R958" s="28"/>
      <c r="S958" s="28"/>
    </row>
    <row r="959" ht="15.75" customHeight="1">
      <c r="R959" s="28"/>
      <c r="S959" s="28"/>
    </row>
    <row r="960" ht="15.75" customHeight="1">
      <c r="R960" s="28"/>
      <c r="S960" s="28"/>
    </row>
    <row r="961" ht="15.75" customHeight="1">
      <c r="R961" s="28"/>
      <c r="S961" s="28"/>
    </row>
    <row r="962" ht="15.75" customHeight="1">
      <c r="R962" s="28"/>
      <c r="S962" s="28"/>
    </row>
    <row r="963" ht="15.75" customHeight="1">
      <c r="R963" s="28"/>
      <c r="S963" s="28"/>
    </row>
    <row r="964" ht="15.75" customHeight="1">
      <c r="R964" s="28"/>
      <c r="S964" s="28"/>
    </row>
    <row r="965" ht="15.75" customHeight="1">
      <c r="R965" s="28"/>
      <c r="S965" s="28"/>
    </row>
    <row r="966" ht="15.75" customHeight="1">
      <c r="R966" s="28"/>
      <c r="S966" s="28"/>
    </row>
    <row r="967" ht="15.75" customHeight="1">
      <c r="R967" s="28"/>
      <c r="S967" s="28"/>
    </row>
    <row r="968" ht="15.75" customHeight="1">
      <c r="R968" s="28"/>
      <c r="S968" s="28"/>
    </row>
    <row r="969" ht="15.75" customHeight="1">
      <c r="R969" s="28"/>
      <c r="S969" s="28"/>
    </row>
    <row r="970" ht="15.75" customHeight="1">
      <c r="R970" s="28"/>
      <c r="S970" s="28"/>
    </row>
    <row r="971" ht="15.75" customHeight="1">
      <c r="R971" s="28"/>
      <c r="S971" s="28"/>
    </row>
    <row r="972" ht="15.75" customHeight="1">
      <c r="R972" s="28"/>
      <c r="S972" s="28"/>
    </row>
    <row r="973" ht="15.75" customHeight="1">
      <c r="R973" s="28"/>
      <c r="S973" s="28"/>
    </row>
    <row r="974" ht="15.75" customHeight="1">
      <c r="R974" s="28"/>
      <c r="S974" s="28"/>
    </row>
    <row r="975" ht="15.75" customHeight="1">
      <c r="R975" s="28"/>
      <c r="S975" s="28"/>
    </row>
    <row r="976" ht="15.75" customHeight="1">
      <c r="R976" s="28"/>
      <c r="S976" s="28"/>
    </row>
    <row r="977" ht="15.75" customHeight="1">
      <c r="R977" s="28"/>
      <c r="S977" s="28"/>
    </row>
    <row r="978" ht="15.75" customHeight="1">
      <c r="R978" s="28"/>
      <c r="S978" s="28"/>
    </row>
    <row r="979" ht="15.75" customHeight="1">
      <c r="R979" s="28"/>
      <c r="S979" s="28"/>
    </row>
    <row r="980" ht="15.75" customHeight="1">
      <c r="R980" s="28"/>
      <c r="S980" s="28"/>
    </row>
    <row r="981" ht="15.75" customHeight="1">
      <c r="R981" s="28"/>
      <c r="S981" s="28"/>
    </row>
    <row r="982" ht="15.75" customHeight="1">
      <c r="R982" s="28"/>
      <c r="S982" s="28"/>
    </row>
    <row r="983" ht="15.75" customHeight="1">
      <c r="R983" s="28"/>
      <c r="S983" s="28"/>
    </row>
    <row r="984" ht="15.75" customHeight="1">
      <c r="R984" s="28"/>
      <c r="S984" s="28"/>
    </row>
    <row r="985" ht="15.75" customHeight="1">
      <c r="R985" s="28"/>
      <c r="S985" s="28"/>
    </row>
    <row r="986" ht="15.75" customHeight="1">
      <c r="R986" s="28"/>
      <c r="S986" s="28"/>
    </row>
    <row r="987" ht="15.75" customHeight="1">
      <c r="R987" s="28"/>
      <c r="S987" s="28"/>
    </row>
    <row r="988" ht="15.75" customHeight="1">
      <c r="R988" s="28"/>
      <c r="S988" s="28"/>
    </row>
    <row r="989" ht="15.75" customHeight="1">
      <c r="R989" s="28"/>
      <c r="S989" s="28"/>
    </row>
  </sheetData>
  <autoFilter ref="$A$1:$G$93">
    <sortState ref="A1:G93">
      <sortCondition ref="A1:A9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2026-07-01T06:37:54Z</dcterms:created>
  <dc:creator>openpyxl</dc:creator>
</cp:coreProperties>
</file>